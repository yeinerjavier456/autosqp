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TEXTO_Whatapp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2">
      <text>
        <t xml:space="preserve">NO SE HA RECIBIDO TP 
</t>
      </text>
    </comment>
    <comment authorId="0" ref="H25">
      <text>
        <t xml:space="preserve">NO SE HA RECIBIDO TP
</t>
      </text>
    </comment>
    <comment authorId="0" ref="H26">
      <text>
        <t xml:space="preserve">NO SE HA RECIBIDO TARJETA DE PROPIEDAD 
</t>
      </text>
    </comment>
  </commentList>
</comments>
</file>

<file path=xl/sharedStrings.xml><?xml version="1.0" encoding="utf-8"?>
<sst xmlns="http://schemas.openxmlformats.org/spreadsheetml/2006/main" count="1452" uniqueCount="364">
  <si>
    <t xml:space="preserve"> AUTOSQP</t>
  </si>
  <si>
    <t>Marca &amp; Modelo</t>
  </si>
  <si>
    <t>Año:</t>
  </si>
  <si>
    <t>Color:</t>
  </si>
  <si>
    <t>Combustible:</t>
  </si>
  <si>
    <t>Transmisión:</t>
  </si>
  <si>
    <t>Motor:</t>
  </si>
  <si>
    <t>Kilómetros:</t>
  </si>
  <si>
    <t>Placa:</t>
  </si>
  <si>
    <t>Soat:</t>
  </si>
  <si>
    <t>Tecno:</t>
  </si>
  <si>
    <t>PRECIO DE VENTA</t>
  </si>
  <si>
    <t>🚨🚨🚨🚨</t>
  </si>
  <si>
    <t>Cod:</t>
  </si>
  <si>
    <t>FASECO:</t>
  </si>
  <si>
    <t>PRECIO COMPRA :</t>
  </si>
  <si>
    <t>Ubicacion:</t>
  </si>
  <si>
    <t>RENAULT KWID ZEN</t>
  </si>
  <si>
    <t>Gris</t>
  </si>
  <si>
    <t>Gasolina</t>
  </si>
  <si>
    <t>Automatica</t>
  </si>
  <si>
    <t>GSN577</t>
  </si>
  <si>
    <t>----</t>
  </si>
  <si>
    <t>-----</t>
  </si>
  <si>
    <t xml:space="preserve">VENDIDO </t>
  </si>
  <si>
    <t>00QP</t>
  </si>
  <si>
    <t xml:space="preserve">OUTLET </t>
  </si>
  <si>
    <t>RENAULT LOGAN AUTENTHIQUE</t>
  </si>
  <si>
    <t>Blanco</t>
  </si>
  <si>
    <t>FOP619</t>
  </si>
  <si>
    <t>NISSAN SENTRA SR 2020 AT</t>
  </si>
  <si>
    <t>Rojo</t>
  </si>
  <si>
    <t>GFM895</t>
  </si>
  <si>
    <t>DISPONIBLE</t>
  </si>
  <si>
    <t xml:space="preserve"> RENAULT LOGAN INTENS</t>
  </si>
  <si>
    <t>Mecanica</t>
  </si>
  <si>
    <t>DVY336</t>
  </si>
  <si>
    <t>N/A</t>
  </si>
  <si>
    <t>ALISTAMIENTO</t>
  </si>
  <si>
    <t>NISSAN X - TRAIL EXCLUSIVE</t>
  </si>
  <si>
    <t>--</t>
  </si>
  <si>
    <t xml:space="preserve">YAMAHA MT15 </t>
  </si>
  <si>
    <t>Negro</t>
  </si>
  <si>
    <t>n/a</t>
  </si>
  <si>
    <t xml:space="preserve">CHEVROLET SAIL </t>
  </si>
  <si>
    <t>IML662</t>
  </si>
  <si>
    <t>RESERVADO</t>
  </si>
  <si>
    <t>NISSAN VERSA</t>
  </si>
  <si>
    <t>GTK139</t>
  </si>
  <si>
    <t>DESEMBOLSO</t>
  </si>
  <si>
    <t xml:space="preserve">RENAUL SANDERO </t>
  </si>
  <si>
    <t>Plata</t>
  </si>
  <si>
    <t>001GA</t>
  </si>
  <si>
    <t>FORD ESCAPE TITANIUM 4X4</t>
  </si>
  <si>
    <t>EIS170</t>
  </si>
  <si>
    <t>SUZUKI GRAND VITARA 4X4 AT</t>
  </si>
  <si>
    <t>Azul</t>
  </si>
  <si>
    <t>DOL239</t>
  </si>
  <si>
    <t>RENAULT DUSTER ICONIC CVT</t>
  </si>
  <si>
    <t>BMW X4 XDRIVE20I</t>
  </si>
  <si>
    <t>IXM295</t>
  </si>
  <si>
    <t>VOLKSWAGEN GOLF GTI</t>
  </si>
  <si>
    <t>JDS305</t>
  </si>
  <si>
    <t>BMW X1 XDRIVE25I</t>
  </si>
  <si>
    <t>RHK664</t>
  </si>
  <si>
    <t>RENAULT NEW KOLEOS INTENS 4x4</t>
  </si>
  <si>
    <t>$ 93.900.000</t>
  </si>
  <si>
    <t>CRV CITY PLUS 4X2</t>
  </si>
  <si>
    <t>Triptonica</t>
  </si>
  <si>
    <t>HMK169</t>
  </si>
  <si>
    <t>CHEVROLET CAPTIVA SPORT</t>
  </si>
  <si>
    <t>MKS538</t>
  </si>
  <si>
    <t>002PR</t>
  </si>
  <si>
    <t>PRADO TXL JAPONESA</t>
  </si>
  <si>
    <t>KBK605</t>
  </si>
  <si>
    <t>HILUX ESTACAS</t>
  </si>
  <si>
    <t>NDK602</t>
  </si>
  <si>
    <t>RENAULT LOGAN INTENS</t>
  </si>
  <si>
    <t>NHO495</t>
  </si>
  <si>
    <t>Qashqai Exclusive</t>
  </si>
  <si>
    <t>RKS249</t>
  </si>
  <si>
    <t>Captur intens</t>
  </si>
  <si>
    <t>KGA918</t>
  </si>
  <si>
    <t>NISSAN VERSA DRIVE</t>
  </si>
  <si>
    <t>JMN168</t>
  </si>
  <si>
    <t>MAZDA 2 TOURING</t>
  </si>
  <si>
    <t>NMM113</t>
  </si>
  <si>
    <t>LOQ235</t>
  </si>
  <si>
    <t>CHEVROLET EQUINOX RS</t>
  </si>
  <si>
    <t>NMS860</t>
  </si>
  <si>
    <t>NUEVO</t>
  </si>
  <si>
    <t>AUDI Q5 ATRACCION</t>
  </si>
  <si>
    <t>UTR064</t>
  </si>
  <si>
    <t>TOYOTA PRADO TX BLINDADA</t>
  </si>
  <si>
    <t>MCX277</t>
  </si>
  <si>
    <t>BMW 328I</t>
  </si>
  <si>
    <t>HHS195</t>
  </si>
  <si>
    <t>FORD EDGE ST</t>
  </si>
  <si>
    <t>GYS407</t>
  </si>
  <si>
    <t>FORD FIESTA TITANIUM</t>
  </si>
  <si>
    <t>ENQ293</t>
  </si>
  <si>
    <t>FORD FIESTA S.E</t>
  </si>
  <si>
    <t>IWT996</t>
  </si>
  <si>
    <t>003CA</t>
  </si>
  <si>
    <t>PEUGEOT 5008ALLURE</t>
  </si>
  <si>
    <t>DRM084</t>
  </si>
  <si>
    <t>$89.900.000</t>
  </si>
  <si>
    <t>MERCEDESBENZB180</t>
  </si>
  <si>
    <t>IGX506</t>
  </si>
  <si>
    <t>59.900.000</t>
  </si>
  <si>
    <t>$59.900.000</t>
  </si>
  <si>
    <t>KIARIOUBEX</t>
  </si>
  <si>
    <t>HMR634</t>
  </si>
  <si>
    <t>$48.900.000</t>
  </si>
  <si>
    <t>FORDFIESTATITANIUM</t>
  </si>
  <si>
    <t>Hibrido</t>
  </si>
  <si>
    <t>IXN800</t>
  </si>
  <si>
    <t>$46.900.000</t>
  </si>
  <si>
    <t>FORDRANGERXLT</t>
  </si>
  <si>
    <t>MCV190</t>
  </si>
  <si>
    <t>$77.900.000</t>
  </si>
  <si>
    <t>CHEVROLETSPARKGTLT</t>
  </si>
  <si>
    <t>IJQ848</t>
  </si>
  <si>
    <t>$40.900.000</t>
  </si>
  <si>
    <t>FORDESCAPE 4X4SE</t>
  </si>
  <si>
    <t>ZYW106</t>
  </si>
  <si>
    <t>$50.900.00</t>
  </si>
  <si>
    <t>NISSANKICKSADVANCE</t>
  </si>
  <si>
    <t>DTO258</t>
  </si>
  <si>
    <t>$69.900.000</t>
  </si>
  <si>
    <t>HYUNDAIGRANDI10MT</t>
  </si>
  <si>
    <t>IIZ426</t>
  </si>
  <si>
    <t>$37.900.000</t>
  </si>
  <si>
    <t>CHEVROLETAVEOEMOTIONGTI</t>
  </si>
  <si>
    <t>RJV521</t>
  </si>
  <si>
    <t>CHEVROLETSONICLT</t>
  </si>
  <si>
    <t>JJS771</t>
  </si>
  <si>
    <t>CITA PREVIA</t>
  </si>
  <si>
    <t>MAZDA3</t>
  </si>
  <si>
    <t>FBK316</t>
  </si>
  <si>
    <t>$27.900.000</t>
  </si>
  <si>
    <t>NISSANKICKSSENSE</t>
  </si>
  <si>
    <t>FVW047</t>
  </si>
  <si>
    <t>$71.900.000</t>
  </si>
  <si>
    <t>RENAULT DUSTERDYNAMIQUE</t>
  </si>
  <si>
    <t>MKY712</t>
  </si>
  <si>
    <t>$47.900.000</t>
  </si>
  <si>
    <t>RENAULTSTEPWAY</t>
  </si>
  <si>
    <t>KNM605</t>
  </si>
  <si>
    <t>CHEVROLETCAPTIVASPORT</t>
  </si>
  <si>
    <t>HYT284</t>
  </si>
  <si>
    <t>MERCEDESBENZA200</t>
  </si>
  <si>
    <t>JGU931</t>
  </si>
  <si>
    <t>$72.900.000</t>
  </si>
  <si>
    <t>RENAULTLOGANPUBLICO</t>
  </si>
  <si>
    <t>LLR521</t>
  </si>
  <si>
    <t>$56.900.000</t>
  </si>
  <si>
    <t>VOLKSWAGENJETTATRENDLINE</t>
  </si>
  <si>
    <t>ELW768</t>
  </si>
  <si>
    <t>CHEVROLET TRACKER</t>
  </si>
  <si>
    <t>KCL588</t>
  </si>
  <si>
    <t>50.900.000</t>
  </si>
  <si>
    <t>MAZDA 2 GRAND TOURING LX</t>
  </si>
  <si>
    <t>NSQ435</t>
  </si>
  <si>
    <t>$97.900.000</t>
  </si>
  <si>
    <t>VOLKSWAGEN JETTA TP</t>
  </si>
  <si>
    <t>LKW249</t>
  </si>
  <si>
    <t>$81.900.000</t>
  </si>
  <si>
    <t>MAZDA CX7</t>
  </si>
  <si>
    <t>DAH400</t>
  </si>
  <si>
    <t>$31.900.000</t>
  </si>
  <si>
    <t>JEEP SRT8 AT</t>
  </si>
  <si>
    <t>DDQ154</t>
  </si>
  <si>
    <t>$87.900.000</t>
  </si>
  <si>
    <t>CITROEN C4 CACTUS SHINE</t>
  </si>
  <si>
    <t>LQT377</t>
  </si>
  <si>
    <t>$74.900.000</t>
  </si>
  <si>
    <t>TOYOTA PRADO TX-L TP 4X4</t>
  </si>
  <si>
    <t>Disel</t>
  </si>
  <si>
    <t>IOP777</t>
  </si>
  <si>
    <t>$217,900,000</t>
  </si>
  <si>
    <t>VOLKSWAGEN GOLF COMFORTLINE</t>
  </si>
  <si>
    <t>JCZ547</t>
  </si>
  <si>
    <t>$58.900.000</t>
  </si>
  <si>
    <t>PEUGEOT 3008 ACTIVE</t>
  </si>
  <si>
    <t>LFX763</t>
  </si>
  <si>
    <t>$106,900,000</t>
  </si>
  <si>
    <t>NISSAN SENTRA</t>
  </si>
  <si>
    <t>QFS664</t>
  </si>
  <si>
    <t>RENAULT STEPWAY MT</t>
  </si>
  <si>
    <t>HBY335</t>
  </si>
  <si>
    <t>$43.900.000</t>
  </si>
  <si>
    <t>RENAULT DUSTER MT</t>
  </si>
  <si>
    <t>GBM986</t>
  </si>
  <si>
    <t>$67.900.000</t>
  </si>
  <si>
    <t>SEAT LEON STYLE</t>
  </si>
  <si>
    <t>MJP527</t>
  </si>
  <si>
    <t>$42.900.000</t>
  </si>
  <si>
    <t>HDQ388</t>
  </si>
  <si>
    <t>$41.900.000</t>
  </si>
  <si>
    <t>NISSAN QASHQAI EXCLUSIVE</t>
  </si>
  <si>
    <t>EIQ626</t>
  </si>
  <si>
    <t>$93.900.000</t>
  </si>
  <si>
    <t>SUZUKI GRAND VITARA MT</t>
  </si>
  <si>
    <t>CZG711</t>
  </si>
  <si>
    <t>$38.900.000</t>
  </si>
  <si>
    <t>AUDI Q3</t>
  </si>
  <si>
    <t>LOY042</t>
  </si>
  <si>
    <t>169.900.000</t>
  </si>
  <si>
    <t>PEUGEOT 5008</t>
  </si>
  <si>
    <t>FPT994</t>
  </si>
  <si>
    <t>FORD ESCAPE SE 4X4</t>
  </si>
  <si>
    <t>IXY056</t>
  </si>
  <si>
    <t>$62.900.000</t>
  </si>
  <si>
    <t>BYD SONG PLUS</t>
  </si>
  <si>
    <t>LOW956</t>
  </si>
  <si>
    <t>$161.900.000</t>
  </si>
  <si>
    <t>CHEVROLET TRACKER AT</t>
  </si>
  <si>
    <t>KET719</t>
  </si>
  <si>
    <t>$49.900.000</t>
  </si>
  <si>
    <t>NISSAN SENTRA SENSE MT</t>
  </si>
  <si>
    <t>FNM095</t>
  </si>
  <si>
    <t>VOLKSWAGEN JETTA TRENDLINE 2018</t>
  </si>
  <si>
    <t>RENAULT KOLEOS DYNAMIQUE</t>
  </si>
  <si>
    <t>Diesel</t>
  </si>
  <si>
    <t>MCX814</t>
  </si>
  <si>
    <t>004AP</t>
  </si>
  <si>
    <t>Renault Kwid 1.0 12v</t>
  </si>
  <si>
    <t>GHT763</t>
  </si>
  <si>
    <t>No Aplica</t>
  </si>
  <si>
    <t>Chevrolet Tracker 1.2 T Ls At</t>
  </si>
  <si>
    <t xml:space="preserve">KRL177
</t>
  </si>
  <si>
    <t>Kia Stonic 1.0 Zenith</t>
  </si>
  <si>
    <t>KXM400</t>
  </si>
  <si>
    <t>Mercedes-benz Clase Glc 2.0 300 4matic</t>
  </si>
  <si>
    <t>KPV009</t>
  </si>
  <si>
    <t>Chevrolet Luv D-max 3.0 Cabina Doble 4x4 Mt</t>
  </si>
  <si>
    <t>FBX955</t>
  </si>
  <si>
    <t>Hyundai Tucson 2.0 Ix35 4x2 Mt</t>
  </si>
  <si>
    <t>NDQ997</t>
  </si>
  <si>
    <t>Toyota Prado Lc 150 4.0 Tx Fl</t>
  </si>
  <si>
    <t>UTQ240</t>
  </si>
  <si>
    <t>BMW Serie 1 1.6 116i F20 Standard</t>
  </si>
  <si>
    <t>HDK567</t>
  </si>
  <si>
    <t>Renault Duster 1.6 Expression Mecánica</t>
  </si>
  <si>
    <t>WDR746</t>
  </si>
  <si>
    <t>Toyota Hilux 3.0 Srv</t>
  </si>
  <si>
    <t>HEZ626</t>
  </si>
  <si>
    <t>Renault Sandero 1.6 Life</t>
  </si>
  <si>
    <t>LRQ786</t>
  </si>
  <si>
    <t>Ford Edge 2.7 Ecoboost V6</t>
  </si>
  <si>
    <t>LRR022</t>
  </si>
  <si>
    <t xml:space="preserve">No Aplica </t>
  </si>
  <si>
    <t>Bmw X6 3.0 Xdrive35i</t>
  </si>
  <si>
    <t>JUM441</t>
  </si>
  <si>
    <t>Toyota Hilux 2.5 Imv 100 Hp 4x4</t>
  </si>
  <si>
    <t>UDN039</t>
  </si>
  <si>
    <t>KIA PICANTO 1250</t>
  </si>
  <si>
    <t>LQM307</t>
  </si>
  <si>
    <t>Toyota Hilux 2.4l</t>
  </si>
  <si>
    <t>JOW727</t>
  </si>
  <si>
    <t>Toyota Fortuner 3.0 Sr5</t>
  </si>
  <si>
    <t>CUL364</t>
  </si>
  <si>
    <t>005RC</t>
  </si>
  <si>
    <t>Wolkswaguen Polo Confortline 1.6 ( MT )</t>
  </si>
  <si>
    <t>JMR738</t>
  </si>
  <si>
    <t>Chevrolet Equinox 1.5 turbo ( TP )</t>
  </si>
  <si>
    <t>GCR893</t>
  </si>
  <si>
    <t>Renault Capture Intense ( AT )</t>
  </si>
  <si>
    <t>Electrico</t>
  </si>
  <si>
    <t>DWQ115</t>
  </si>
  <si>
    <t>01-SEP-2026</t>
  </si>
  <si>
    <t>14-SEP-2026</t>
  </si>
  <si>
    <t>Suzuki Grand Vitara Glx Sport ( MT ) 4X2</t>
  </si>
  <si>
    <t>HVL218</t>
  </si>
  <si>
    <t>04-SEP-2026</t>
  </si>
  <si>
    <t>Mazda CX30 Hibrida ( TP )</t>
  </si>
  <si>
    <t>LHW128</t>
  </si>
  <si>
    <t>No  Aplica</t>
  </si>
  <si>
    <t>wolkswaguen jetta 1.4 tsi ( AT )</t>
  </si>
  <si>
    <t>GZX400</t>
  </si>
  <si>
    <t>Kia Sportage</t>
  </si>
  <si>
    <t>HTR940</t>
  </si>
  <si>
    <t>Nissan Frontier NP300</t>
  </si>
  <si>
    <t>ZZX950</t>
  </si>
  <si>
    <t>09-sep-2026</t>
  </si>
  <si>
    <t>Renault Clio Style</t>
  </si>
  <si>
    <t>DNR846</t>
  </si>
  <si>
    <t>006UP</t>
  </si>
  <si>
    <t xml:space="preserve">Volkwagen Crossfox mecanica </t>
  </si>
  <si>
    <t xml:space="preserve">Fiat Pulse Ìmpetus Automatica </t>
  </si>
  <si>
    <t xml:space="preserve">Tesla Model 3 Standard Range RWD PREVENTA EXCLUSIVA </t>
  </si>
  <si>
    <t xml:space="preserve">Toyota Yaris XS Automatica </t>
  </si>
  <si>
    <t xml:space="preserve">Audi Q3 Ambition </t>
  </si>
  <si>
    <t xml:space="preserve">BYD Seagull Gs 400 Electrico </t>
  </si>
  <si>
    <t xml:space="preserve">BYD Seagull 2025 GS 400 Electrico </t>
  </si>
  <si>
    <t xml:space="preserve">BYD Yuan Up 100% Electrico Automatico </t>
  </si>
  <si>
    <t xml:space="preserve">Volkwagen T-cross Highline </t>
  </si>
  <si>
    <t xml:space="preserve">MAZDA 2 Touring 1.5 L Sedan compacto </t>
  </si>
  <si>
    <t xml:space="preserve">Mazda 3 Grant Toring Hibrido </t>
  </si>
  <si>
    <t xml:space="preserve">Mazda 3 Toring Mecanico </t>
  </si>
  <si>
    <t>MAZDA CX-30 GRAND TOURING HÍBRIDA</t>
  </si>
  <si>
    <t>MAZDA CX-30 GRAND TOURING LX HÍBRIDA</t>
  </si>
  <si>
    <t>MAZDA CX-30 GRAND TOURING HÍBRIDA 2026</t>
  </si>
  <si>
    <t>MAZDA CX-5 TOURING 2.0 AT</t>
  </si>
  <si>
    <t>TOYOTA FORTUNER 2.7 GASOLINA AT</t>
  </si>
  <si>
    <t>SUZUKI NEW S-CROSS HÍBRIDA TURBO</t>
  </si>
  <si>
    <t>TOYOTA PRADO SUMO 4X4 MECÁNICA</t>
  </si>
  <si>
    <t>FORD BRONCO WILDTRAK 4X4 2.0L TURBO AUTOMÁTICA</t>
  </si>
  <si>
    <t>FORD EXPLORER XLT 4X4 PLUS</t>
  </si>
  <si>
    <t>PEUGEOT 3008 ALLURE– AUTOMÁTICA 1.6L SUV PREMIUM</t>
  </si>
  <si>
    <t>PEUGEOT 3008 GT LINE– AUTOMÁTICA 1.6L SUV PREMIUM</t>
  </si>
  <si>
    <t>VOYAH COURAGE – SUV PREMIUM 100% ELÉCTRICA</t>
  </si>
  <si>
    <t>KIA SORENTO 3.3 GASOLINA ZENITH – 7 PUESTOS</t>
  </si>
  <si>
    <t>BMW X6 XDRIVE 35I</t>
  </si>
  <si>
    <t>NISSAN X-TRAIL ADVANCE AUTOMÁTICA</t>
  </si>
  <si>
    <t>RENAULT KOLEOS NEW ZEN 2.5</t>
  </si>
  <si>
    <t>CHEVROLET CAPTIVA LTZ TURBO</t>
  </si>
  <si>
    <t>CHEVROLET CAPTIVA PREMIER – 7 PUESTOS</t>
  </si>
  <si>
    <t>FORD FOCUS SE TITANIUM</t>
  </si>
  <si>
    <t>CHEVROLET TRACKER LS AUTOMATICO 2014</t>
  </si>
  <si>
    <t>CHEVROLET TRACKER LS MECÁNICA</t>
  </si>
  <si>
    <t>HYUNDAI I25 SEDÁN MECÁNICO</t>
  </si>
  <si>
    <t>VOLKSWAGEN GOL COMFORTLINE</t>
  </si>
  <si>
    <t>MERCEDES-BENZ A200 ESSENTIA</t>
  </si>
  <si>
    <t>BMW 320I E90 LCI AUTOMÁTICO</t>
  </si>
  <si>
    <t>BMW 325I AUTOMÁTICO</t>
  </si>
  <si>
    <t>BMW 118I HATCHBACK AUTOMÁTICO</t>
  </si>
  <si>
    <t>KIA CERATO PRO EX MT</t>
  </si>
  <si>
    <t>KIA CADENZA 3.5 TP FULL EQUIPO</t>
  </si>
  <si>
    <t>NISSAN VERSA EXCLUSIVE 1.6</t>
  </si>
  <si>
    <t>FORD RANGER LIMITED 3.2L DIÉSEL 4X4</t>
  </si>
  <si>
    <t>SSANG YONG KYRON 4X4 TURBO DIESEL</t>
  </si>
  <si>
    <t>CHEVROLET SONIC LT SEDAN MECANICO</t>
  </si>
  <si>
    <t>NISSAN X- TRAIL EXCLUSIVE 4X4 T32 FULL EQUIPO</t>
  </si>
  <si>
    <t>JMC CHR TURBO DIÉSEL</t>
  </si>
  <si>
    <t>NISSAN KICKS ADVANCE AT MOD 2023</t>
  </si>
  <si>
    <t>MAZDA 5 FULL EQUIPO AT 7 PUESTOS</t>
  </si>
  <si>
    <t>KIA PICANTO EMOTION MT</t>
  </si>
  <si>
    <t xml:space="preserve"> SEAT IBIZA STYLE</t>
  </si>
  <si>
    <t>NISSAN NP 300 FRONTIER – MECÁNICA GASOLINA 2.4L DOBLE CABINA</t>
  </si>
  <si>
    <t>RENAULT LOGAN INTENS 1.6 FULL EQUIPO</t>
  </si>
  <si>
    <t>MITSUBISHI L047GW – 4X4 CLÁSICO</t>
  </si>
  <si>
    <t>RENAULT SANDERO NIGHT &amp; DAY</t>
  </si>
  <si>
    <t>DFSK EQ5021XXYF 1.3</t>
  </si>
  <si>
    <t>🛻</t>
  </si>
  <si>
    <t>COD</t>
  </si>
  <si>
    <t>Ford Fiesta 1.6 Titanium At</t>
  </si>
  <si>
    <t xml:space="preserve">ESTADO </t>
  </si>
  <si>
    <t>AUTOMOVIL</t>
  </si>
  <si>
    <t>TIPO</t>
  </si>
  <si>
    <t xml:space="preserve">VEHICULOS AUTOSQP </t>
  </si>
  <si>
    <t xml:space="preserve">MOD. </t>
  </si>
  <si>
    <t>PLACA</t>
  </si>
  <si>
    <t>BOGOTA</t>
  </si>
  <si>
    <t xml:space="preserve">MATRICULADO </t>
  </si>
  <si>
    <t>COLOR</t>
  </si>
  <si>
    <t xml:space="preserve">KM </t>
  </si>
  <si>
    <t xml:space="preserve">PRECIO ACTUAL </t>
  </si>
  <si>
    <t xml:space="preserve">SOAT </t>
  </si>
  <si>
    <t>TECNO</t>
  </si>
  <si>
    <t>SI</t>
  </si>
  <si>
    <t>008JK</t>
  </si>
  <si>
    <t>PRECIO PUBLICO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</si>
</sst>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d/m/yyyy"/>
    <numFmt numFmtId="166" formatCode="[$ $]#,##0"/>
    <numFmt numFmtId="167" formatCode="&quot;$&quot;\ #,##0"/>
    <numFmt numFmtId="168" formatCode="dd/mm/yyyy"/>
    <numFmt numFmtId="169" formatCode="mmmm yyyy"/>
    <numFmt numFmtId="170" formatCode="d/MM/yyyy"/>
    <numFmt numFmtId="171" formatCode="&quot;$&quot;#,##0"/>
  </numFmts>
  <fonts count="12">
    <font>
      <sz val="10.0"/>
      <color rgb="FF000000"/>
      <name val="Arial"/>
      <scheme val="minor"/>
    </font>
    <font>
      <b/>
      <sz val="41.0"/>
      <color theme="1"/>
      <name val="Arial"/>
    </font>
    <font/>
    <font>
      <color theme="1"/>
      <name val="Arial"/>
    </font>
    <font>
      <b/>
      <i/>
      <sz val="13.0"/>
      <color theme="1"/>
      <name val="Century Gothic"/>
    </font>
    <font>
      <i/>
      <color theme="1"/>
      <name val="Arial"/>
    </font>
    <font>
      <sz val="9.0"/>
      <color theme="1"/>
      <name val="Arial"/>
    </font>
    <font>
      <color theme="1"/>
      <name val="Arial MT"/>
    </font>
    <font>
      <sz val="11.0"/>
      <color theme="1"/>
      <name val="Calibri"/>
    </font>
    <font>
      <b/>
      <i/>
      <sz val="15.0"/>
      <color theme="1"/>
      <name val="Century Gothic"/>
    </font>
    <font>
      <b/>
      <sz val="9.0"/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5E0B3"/>
        <bgColor rgb="FFC5E0B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2" fontId="4" numFmtId="3" xfId="0" applyAlignment="1" applyBorder="1" applyFill="1" applyFont="1" applyNumberFormat="1">
      <alignment horizontal="center" vertical="bottom"/>
    </xf>
    <xf borderId="4" fillId="2" fontId="3" numFmtId="3" xfId="0" applyAlignment="1" applyBorder="1" applyFont="1" applyNumberFormat="1">
      <alignment vertical="bottom"/>
    </xf>
    <xf borderId="4" fillId="3" fontId="5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3" numFmtId="3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" fontId="3" numFmtId="166" xfId="0" applyAlignment="1" applyBorder="1" applyFont="1" applyNumberFormat="1">
      <alignment horizontal="center" vertical="bottom"/>
    </xf>
    <xf borderId="4" fillId="0" fontId="6" numFmtId="0" xfId="0" applyAlignment="1" applyBorder="1" applyFont="1">
      <alignment vertical="bottom"/>
    </xf>
    <xf borderId="4" fillId="3" fontId="3" numFmtId="167" xfId="0" applyAlignment="1" applyBorder="1" applyFont="1" applyNumberFormat="1">
      <alignment horizontal="center" vertical="bottom"/>
    </xf>
    <xf borderId="4" fillId="0" fontId="3" numFmtId="168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0" fontId="3" numFmtId="3" xfId="0" applyAlignment="1" applyBorder="1" applyFont="1" applyNumberFormat="1">
      <alignment vertical="bottom"/>
    </xf>
    <xf borderId="4" fillId="3" fontId="3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70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top"/>
    </xf>
    <xf borderId="4" fillId="0" fontId="3" numFmtId="3" xfId="0" applyAlignment="1" applyBorder="1" applyFont="1" applyNumberFormat="1">
      <alignment horizontal="center" vertical="top"/>
    </xf>
    <xf borderId="4" fillId="0" fontId="3" numFmtId="170" xfId="0" applyAlignment="1" applyBorder="1" applyFont="1" applyNumberFormat="1">
      <alignment horizontal="center" vertical="top"/>
    </xf>
    <xf borderId="4" fillId="0" fontId="3" numFmtId="168" xfId="0" applyAlignment="1" applyBorder="1" applyFont="1" applyNumberFormat="1">
      <alignment horizontal="center" vertical="top"/>
    </xf>
    <xf borderId="4" fillId="0" fontId="3" numFmtId="166" xfId="0" applyAlignment="1" applyBorder="1" applyFont="1" applyNumberFormat="1">
      <alignment horizontal="center" vertical="top"/>
    </xf>
    <xf borderId="4" fillId="0" fontId="3" numFmtId="169" xfId="0" applyAlignment="1" applyBorder="1" applyFont="1" applyNumberFormat="1">
      <alignment horizontal="center" vertical="top"/>
    </xf>
    <xf borderId="4" fillId="0" fontId="7" numFmtId="165" xfId="0" applyAlignment="1" applyBorder="1" applyFont="1" applyNumberFormat="1">
      <alignment horizontal="center" vertical="top"/>
    </xf>
    <xf borderId="4" fillId="4" fontId="3" numFmtId="0" xfId="0" applyAlignment="1" applyBorder="1" applyFill="1" applyFont="1">
      <alignment horizontal="center" vertical="top"/>
    </xf>
    <xf borderId="4" fillId="4" fontId="3" numFmtId="3" xfId="0" applyAlignment="1" applyBorder="1" applyFont="1" applyNumberFormat="1">
      <alignment horizontal="center" vertical="top"/>
    </xf>
    <xf borderId="4" fillId="4" fontId="3" numFmtId="168" xfId="0" applyAlignment="1" applyBorder="1" applyFont="1" applyNumberFormat="1">
      <alignment horizontal="center" vertical="top"/>
    </xf>
    <xf borderId="4" fillId="4" fontId="3" numFmtId="166" xfId="0" applyAlignment="1" applyBorder="1" applyFont="1" applyNumberFormat="1">
      <alignment horizontal="center" vertical="top"/>
    </xf>
    <xf borderId="4" fillId="4" fontId="3" numFmtId="170" xfId="0" applyAlignment="1" applyBorder="1" applyFont="1" applyNumberFormat="1">
      <alignment horizontal="center" vertical="top"/>
    </xf>
    <xf borderId="4" fillId="4" fontId="3" numFmtId="165" xfId="0" applyAlignment="1" applyBorder="1" applyFont="1" applyNumberFormat="1">
      <alignment horizontal="center" vertical="top"/>
    </xf>
    <xf borderId="4" fillId="0" fontId="3" numFmtId="170" xfId="0" applyAlignment="1" applyBorder="1" applyFont="1" applyNumberFormat="1">
      <alignment vertical="bottom"/>
    </xf>
    <xf borderId="4" fillId="0" fontId="3" numFmtId="165" xfId="0" applyAlignment="1" applyBorder="1" applyFont="1" applyNumberFormat="1">
      <alignment vertical="bottom"/>
    </xf>
    <xf borderId="4" fillId="4" fontId="3" numFmtId="167" xfId="0" applyAlignment="1" applyBorder="1" applyFont="1" applyNumberFormat="1">
      <alignment horizontal="center" vertical="top"/>
    </xf>
    <xf borderId="4" fillId="0" fontId="3" numFmtId="168" xfId="0" applyAlignment="1" applyBorder="1" applyFont="1" applyNumberFormat="1">
      <alignment vertical="bottom"/>
    </xf>
    <xf borderId="4" fillId="0" fontId="3" numFmtId="0" xfId="0" applyAlignment="1" applyBorder="1" applyFont="1">
      <alignment vertical="top"/>
    </xf>
    <xf quotePrefix="1" borderId="4" fillId="3" fontId="3" numFmtId="167" xfId="0" applyAlignment="1" applyBorder="1" applyFont="1" applyNumberFormat="1">
      <alignment horizontal="center" vertical="bottom"/>
    </xf>
    <xf borderId="4" fillId="4" fontId="3" numFmtId="166" xfId="0" applyAlignment="1" applyBorder="1" applyFont="1" applyNumberFormat="1">
      <alignment vertical="top"/>
    </xf>
    <xf borderId="4" fillId="3" fontId="3" numFmtId="167" xfId="0" applyAlignment="1" applyBorder="1" applyFont="1" applyNumberFormat="1">
      <alignment vertical="bottom"/>
    </xf>
    <xf borderId="4" fillId="3" fontId="5" numFmtId="0" xfId="0" applyAlignment="1" applyBorder="1" applyFont="1">
      <alignment horizontal="center"/>
    </xf>
    <xf borderId="0" fillId="0" fontId="3" numFmtId="0" xfId="0" applyAlignment="1" applyFont="1">
      <alignment horizontal="right" vertical="bottom"/>
    </xf>
    <xf borderId="0" fillId="0" fontId="3" numFmtId="167" xfId="0" applyAlignment="1" applyFont="1" applyNumberFormat="1">
      <alignment horizontal="center" vertical="bottom"/>
    </xf>
    <xf borderId="0" fillId="5" fontId="3" numFmtId="171" xfId="0" applyAlignment="1" applyFill="1" applyFont="1" applyNumberFormat="1">
      <alignment vertical="bottom"/>
    </xf>
    <xf borderId="0" fillId="0" fontId="8" numFmtId="0" xfId="0" applyAlignment="1" applyFont="1">
      <alignment vertical="bottom"/>
    </xf>
    <xf borderId="4" fillId="2" fontId="9" numFmtId="0" xfId="0" applyAlignment="1" applyBorder="1" applyFont="1">
      <alignment horizontal="center" vertical="bottom"/>
    </xf>
    <xf borderId="4" fillId="5" fontId="10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vertical="bottom"/>
    </xf>
    <xf borderId="4" fillId="2" fontId="9" numFmtId="3" xfId="0" applyAlignment="1" applyBorder="1" applyFont="1" applyNumberFormat="1">
      <alignment horizontal="center" vertical="bottom"/>
    </xf>
    <xf borderId="4" fillId="5" fontId="10" numFmtId="0" xfId="0" applyAlignment="1" applyBorder="1" applyFont="1">
      <alignment shrinkToFit="0" vertical="bottom" wrapText="1"/>
    </xf>
    <xf borderId="3" fillId="0" fontId="8" numFmtId="171" xfId="0" applyAlignment="1" applyBorder="1" applyFont="1" applyNumberFormat="1">
      <alignment vertical="bottom"/>
    </xf>
    <xf borderId="4" fillId="2" fontId="3" numFmtId="171" xfId="0" applyAlignment="1" applyBorder="1" applyFont="1" applyNumberFormat="1">
      <alignment vertical="bottom"/>
    </xf>
    <xf borderId="4" fillId="5" fontId="10" numFmtId="171" xfId="0" applyAlignment="1" applyBorder="1" applyFont="1" applyNumberFormat="1">
      <alignment shrinkToFit="0" vertical="bottom" wrapText="1"/>
    </xf>
    <xf borderId="0" fillId="0" fontId="3" numFmtId="171" xfId="0" applyAlignment="1" applyFont="1" applyNumberFormat="1">
      <alignment horizontal="right" vertical="bottom"/>
    </xf>
    <xf borderId="0" fillId="0" fontId="3" numFmtId="17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15" max="15" width="2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6"/>
    </row>
    <row r="3">
      <c r="A3" s="7" t="s">
        <v>17</v>
      </c>
      <c r="B3" s="8">
        <v>2020.0</v>
      </c>
      <c r="C3" s="9" t="s">
        <v>18</v>
      </c>
      <c r="D3" s="9" t="s">
        <v>19</v>
      </c>
      <c r="E3" s="9" t="s">
        <v>20</v>
      </c>
      <c r="F3" s="10">
        <v>2.5</v>
      </c>
      <c r="G3" s="11">
        <v>76000.0</v>
      </c>
      <c r="H3" s="11" t="s">
        <v>21</v>
      </c>
      <c r="I3" s="12" t="s">
        <v>22</v>
      </c>
      <c r="J3" s="8" t="s">
        <v>23</v>
      </c>
      <c r="K3" s="13">
        <v>3.899E7</v>
      </c>
      <c r="L3" s="14" t="s">
        <v>24</v>
      </c>
      <c r="M3" s="8" t="s">
        <v>25</v>
      </c>
      <c r="N3" s="15">
        <v>3.899E7</v>
      </c>
      <c r="O3" s="15">
        <f t="shared" ref="O3:O35" si="1">(K3-2000000)</f>
        <v>36990000</v>
      </c>
      <c r="P3" s="4" t="s">
        <v>26</v>
      </c>
      <c r="Q3" s="4"/>
    </row>
    <row r="4">
      <c r="A4" s="7" t="s">
        <v>27</v>
      </c>
      <c r="B4" s="8">
        <v>2019.0</v>
      </c>
      <c r="C4" s="9" t="s">
        <v>28</v>
      </c>
      <c r="D4" s="9" t="s">
        <v>19</v>
      </c>
      <c r="E4" s="9" t="s">
        <v>20</v>
      </c>
      <c r="F4" s="10">
        <v>2.0</v>
      </c>
      <c r="G4" s="11">
        <v>106000.0</v>
      </c>
      <c r="H4" s="11" t="s">
        <v>29</v>
      </c>
      <c r="I4" s="16">
        <v>46355.0</v>
      </c>
      <c r="J4" s="16">
        <v>46330.0</v>
      </c>
      <c r="K4" s="13">
        <v>4.59E7</v>
      </c>
      <c r="L4" s="14" t="s">
        <v>24</v>
      </c>
      <c r="M4" s="8" t="s">
        <v>25</v>
      </c>
      <c r="N4" s="15">
        <v>4.59E7</v>
      </c>
      <c r="O4" s="15">
        <f t="shared" si="1"/>
        <v>43900000</v>
      </c>
      <c r="P4" s="4" t="s">
        <v>26</v>
      </c>
      <c r="Q4" s="4"/>
    </row>
    <row r="5">
      <c r="A5" s="7" t="s">
        <v>30</v>
      </c>
      <c r="B5" s="8">
        <v>2020.0</v>
      </c>
      <c r="C5" s="9" t="s">
        <v>31</v>
      </c>
      <c r="D5" s="9" t="s">
        <v>19</v>
      </c>
      <c r="E5" s="9" t="s">
        <v>20</v>
      </c>
      <c r="F5" s="10">
        <v>2.0</v>
      </c>
      <c r="G5" s="11">
        <v>79000.0</v>
      </c>
      <c r="H5" s="8" t="s">
        <v>32</v>
      </c>
      <c r="I5" s="11">
        <v>46204.0</v>
      </c>
      <c r="J5" s="11">
        <v>46388.0</v>
      </c>
      <c r="K5" s="17">
        <v>6.899E7</v>
      </c>
      <c r="L5" s="8" t="s">
        <v>33</v>
      </c>
      <c r="M5" s="8" t="s">
        <v>25</v>
      </c>
      <c r="N5" s="15">
        <v>6.899E7</v>
      </c>
      <c r="O5" s="15">
        <f t="shared" si="1"/>
        <v>66990000</v>
      </c>
      <c r="P5" s="4" t="s">
        <v>26</v>
      </c>
      <c r="Q5" s="4"/>
    </row>
    <row r="6">
      <c r="A6" s="7" t="s">
        <v>34</v>
      </c>
      <c r="B6" s="8">
        <v>2018.0</v>
      </c>
      <c r="C6" s="9" t="s">
        <v>18</v>
      </c>
      <c r="D6" s="9" t="s">
        <v>19</v>
      </c>
      <c r="E6" s="9" t="s">
        <v>35</v>
      </c>
      <c r="F6" s="10">
        <v>2.5</v>
      </c>
      <c r="G6" s="11">
        <v>97000.0</v>
      </c>
      <c r="H6" s="11" t="s">
        <v>36</v>
      </c>
      <c r="I6" s="12">
        <v>46374.0</v>
      </c>
      <c r="J6" s="8" t="s">
        <v>37</v>
      </c>
      <c r="K6" s="13">
        <v>4.79E7</v>
      </c>
      <c r="L6" s="8" t="s">
        <v>38</v>
      </c>
      <c r="M6" s="8" t="s">
        <v>25</v>
      </c>
      <c r="N6" s="15">
        <v>4.79E7</v>
      </c>
      <c r="O6" s="15">
        <f t="shared" si="1"/>
        <v>45900000</v>
      </c>
      <c r="P6" s="4" t="s">
        <v>26</v>
      </c>
      <c r="Q6" s="4"/>
    </row>
    <row r="7">
      <c r="A7" s="7" t="s">
        <v>39</v>
      </c>
      <c r="B7" s="7">
        <v>2024.0</v>
      </c>
      <c r="C7" s="9" t="s">
        <v>28</v>
      </c>
      <c r="D7" s="9" t="s">
        <v>19</v>
      </c>
      <c r="E7" s="9" t="s">
        <v>20</v>
      </c>
      <c r="F7" s="10">
        <v>2.0</v>
      </c>
      <c r="G7" s="11">
        <v>40000.0</v>
      </c>
      <c r="H7" s="7" t="s">
        <v>40</v>
      </c>
      <c r="I7" s="12">
        <v>46245.0</v>
      </c>
      <c r="J7" s="18"/>
      <c r="K7" s="13">
        <v>1.219E8</v>
      </c>
      <c r="L7" s="8" t="s">
        <v>33</v>
      </c>
      <c r="M7" s="8" t="s">
        <v>25</v>
      </c>
      <c r="N7" s="15">
        <v>1.219E8</v>
      </c>
      <c r="O7" s="15">
        <f t="shared" si="1"/>
        <v>119900000</v>
      </c>
      <c r="P7" s="4" t="s">
        <v>26</v>
      </c>
      <c r="Q7" s="4"/>
    </row>
    <row r="8">
      <c r="A8" s="7" t="s">
        <v>41</v>
      </c>
      <c r="B8" s="7">
        <v>2024.0</v>
      </c>
      <c r="C8" s="9" t="s">
        <v>42</v>
      </c>
      <c r="D8" s="9" t="s">
        <v>19</v>
      </c>
      <c r="E8" s="9" t="s">
        <v>20</v>
      </c>
      <c r="F8" s="10">
        <v>2.0</v>
      </c>
      <c r="G8" s="11">
        <v>8000.0</v>
      </c>
      <c r="H8" s="19"/>
      <c r="I8" s="12">
        <v>46245.0</v>
      </c>
      <c r="J8" s="9" t="s">
        <v>43</v>
      </c>
      <c r="K8" s="13">
        <v>1.55E7</v>
      </c>
      <c r="L8" s="8" t="s">
        <v>33</v>
      </c>
      <c r="M8" s="8" t="s">
        <v>25</v>
      </c>
      <c r="N8" s="15">
        <v>1.55E7</v>
      </c>
      <c r="O8" s="15">
        <f t="shared" si="1"/>
        <v>13500000</v>
      </c>
      <c r="P8" s="4" t="s">
        <v>26</v>
      </c>
      <c r="Q8" s="4"/>
    </row>
    <row r="9">
      <c r="A9" s="7" t="s">
        <v>44</v>
      </c>
      <c r="B9" s="7">
        <v>2016.0</v>
      </c>
      <c r="C9" s="9" t="s">
        <v>18</v>
      </c>
      <c r="D9" s="9" t="s">
        <v>19</v>
      </c>
      <c r="E9" s="9" t="s">
        <v>20</v>
      </c>
      <c r="F9" s="10">
        <v>3.5</v>
      </c>
      <c r="G9" s="11">
        <v>85000.0</v>
      </c>
      <c r="H9" s="11" t="s">
        <v>45</v>
      </c>
      <c r="I9" s="12">
        <v>46245.0</v>
      </c>
      <c r="J9" s="9" t="s">
        <v>43</v>
      </c>
      <c r="K9" s="13">
        <v>3.49E7</v>
      </c>
      <c r="L9" s="8" t="s">
        <v>46</v>
      </c>
      <c r="M9" s="8" t="s">
        <v>25</v>
      </c>
      <c r="N9" s="15">
        <v>3.49E7</v>
      </c>
      <c r="O9" s="15">
        <f t="shared" si="1"/>
        <v>32900000</v>
      </c>
      <c r="P9" s="4" t="s">
        <v>26</v>
      </c>
      <c r="Q9" s="4"/>
    </row>
    <row r="10">
      <c r="A10" s="7" t="s">
        <v>47</v>
      </c>
      <c r="B10" s="7">
        <v>2020.0</v>
      </c>
      <c r="C10" s="9" t="s">
        <v>42</v>
      </c>
      <c r="D10" s="9" t="s">
        <v>19</v>
      </c>
      <c r="E10" s="9" t="s">
        <v>20</v>
      </c>
      <c r="F10" s="10">
        <v>1.2</v>
      </c>
      <c r="G10" s="11">
        <v>50000.0</v>
      </c>
      <c r="H10" s="9" t="s">
        <v>48</v>
      </c>
      <c r="I10" s="9" t="s">
        <v>43</v>
      </c>
      <c r="J10" s="9" t="s">
        <v>43</v>
      </c>
      <c r="K10" s="13">
        <v>5.799E7</v>
      </c>
      <c r="L10" s="8" t="s">
        <v>49</v>
      </c>
      <c r="M10" s="8" t="s">
        <v>25</v>
      </c>
      <c r="N10" s="15">
        <v>5.799E7</v>
      </c>
      <c r="O10" s="15">
        <f t="shared" si="1"/>
        <v>55990000</v>
      </c>
      <c r="P10" s="4" t="s">
        <v>26</v>
      </c>
      <c r="Q10" s="4"/>
    </row>
    <row r="11">
      <c r="A11" s="7" t="s">
        <v>50</v>
      </c>
      <c r="B11" s="7">
        <v>2018.0</v>
      </c>
      <c r="C11" s="9" t="s">
        <v>51</v>
      </c>
      <c r="D11" s="9" t="s">
        <v>19</v>
      </c>
      <c r="E11" s="9" t="s">
        <v>20</v>
      </c>
      <c r="F11" s="10">
        <v>2.0</v>
      </c>
      <c r="G11" s="8">
        <v>87000.0</v>
      </c>
      <c r="H11" s="9"/>
      <c r="I11" s="9"/>
      <c r="J11" s="9"/>
      <c r="K11" s="13">
        <v>4.4E7</v>
      </c>
      <c r="L11" s="8" t="s">
        <v>24</v>
      </c>
      <c r="M11" s="20" t="s">
        <v>52</v>
      </c>
      <c r="N11" s="15">
        <v>4.4E7</v>
      </c>
      <c r="O11" s="15">
        <f t="shared" si="1"/>
        <v>42000000</v>
      </c>
      <c r="P11" s="4" t="s">
        <v>26</v>
      </c>
      <c r="Q11" s="4"/>
    </row>
    <row r="12">
      <c r="A12" s="7" t="s">
        <v>53</v>
      </c>
      <c r="B12" s="8">
        <v>2018.0</v>
      </c>
      <c r="C12" s="9" t="s">
        <v>28</v>
      </c>
      <c r="D12" s="9" t="s">
        <v>19</v>
      </c>
      <c r="E12" s="9" t="s">
        <v>20</v>
      </c>
      <c r="F12" s="10">
        <v>1.3</v>
      </c>
      <c r="G12" s="11">
        <v>73000.0</v>
      </c>
      <c r="H12" s="11" t="s">
        <v>54</v>
      </c>
      <c r="I12" s="16">
        <v>46022.0</v>
      </c>
      <c r="J12" s="16">
        <v>46019.0</v>
      </c>
      <c r="K12" s="13">
        <v>7.79E7</v>
      </c>
      <c r="L12" s="8" t="s">
        <v>33</v>
      </c>
      <c r="M12" s="21" t="s">
        <v>52</v>
      </c>
      <c r="N12" s="15">
        <v>7.79E7</v>
      </c>
      <c r="O12" s="15">
        <f t="shared" si="1"/>
        <v>75900000</v>
      </c>
      <c r="P12" s="4" t="s">
        <v>26</v>
      </c>
      <c r="Q12" s="4"/>
    </row>
    <row r="13">
      <c r="A13" s="7" t="s">
        <v>55</v>
      </c>
      <c r="B13" s="8">
        <v>2017.0</v>
      </c>
      <c r="C13" s="9" t="s">
        <v>56</v>
      </c>
      <c r="D13" s="9" t="s">
        <v>19</v>
      </c>
      <c r="E13" s="9" t="s">
        <v>35</v>
      </c>
      <c r="F13" s="10">
        <v>1.5</v>
      </c>
      <c r="G13" s="11">
        <v>82000.0</v>
      </c>
      <c r="H13" s="11" t="s">
        <v>57</v>
      </c>
      <c r="I13" s="16">
        <v>46088.0</v>
      </c>
      <c r="J13" s="16">
        <v>46145.0</v>
      </c>
      <c r="K13" s="13">
        <v>6.79E7</v>
      </c>
      <c r="L13" s="8" t="s">
        <v>24</v>
      </c>
      <c r="M13" s="21" t="s">
        <v>52</v>
      </c>
      <c r="N13" s="15">
        <v>6.79E7</v>
      </c>
      <c r="O13" s="15">
        <f t="shared" si="1"/>
        <v>65900000</v>
      </c>
      <c r="P13" s="4" t="s">
        <v>26</v>
      </c>
      <c r="Q13" s="4"/>
    </row>
    <row r="14">
      <c r="A14" s="7" t="s">
        <v>58</v>
      </c>
      <c r="B14" s="7">
        <v>2024.0</v>
      </c>
      <c r="C14" s="9" t="s">
        <v>51</v>
      </c>
      <c r="D14" s="9" t="s">
        <v>19</v>
      </c>
      <c r="E14" s="9" t="s">
        <v>35</v>
      </c>
      <c r="F14" s="10">
        <v>1.3</v>
      </c>
      <c r="G14" s="8">
        <v>66000.0</v>
      </c>
      <c r="H14" s="9"/>
      <c r="I14" s="16">
        <v>46233.0</v>
      </c>
      <c r="J14" s="8" t="s">
        <v>37</v>
      </c>
      <c r="K14" s="17">
        <v>8.889E7</v>
      </c>
      <c r="L14" s="8" t="s">
        <v>33</v>
      </c>
      <c r="M14" s="21" t="s">
        <v>52</v>
      </c>
      <c r="N14" s="15">
        <v>8.889E7</v>
      </c>
      <c r="O14" s="15">
        <f t="shared" si="1"/>
        <v>86890000</v>
      </c>
      <c r="P14" s="4" t="s">
        <v>26</v>
      </c>
      <c r="Q14" s="4"/>
    </row>
    <row r="15">
      <c r="A15" s="7" t="s">
        <v>59</v>
      </c>
      <c r="B15" s="8">
        <v>2016.0</v>
      </c>
      <c r="C15" s="9" t="s">
        <v>28</v>
      </c>
      <c r="D15" s="9" t="s">
        <v>19</v>
      </c>
      <c r="E15" s="9" t="s">
        <v>20</v>
      </c>
      <c r="F15" s="10">
        <v>2.0</v>
      </c>
      <c r="G15" s="8">
        <v>88000.0</v>
      </c>
      <c r="H15" s="11" t="s">
        <v>60</v>
      </c>
      <c r="I15" s="16">
        <v>46144.0</v>
      </c>
      <c r="J15" s="16">
        <v>46331.0</v>
      </c>
      <c r="K15" s="17">
        <v>1.02E8</v>
      </c>
      <c r="L15" s="8" t="s">
        <v>33</v>
      </c>
      <c r="M15" s="21" t="s">
        <v>52</v>
      </c>
      <c r="N15" s="15">
        <v>1.02E8</v>
      </c>
      <c r="O15" s="15">
        <f t="shared" si="1"/>
        <v>100000000</v>
      </c>
      <c r="P15" s="4" t="s">
        <v>26</v>
      </c>
      <c r="Q15" s="4"/>
    </row>
    <row r="16">
      <c r="A16" s="7" t="s">
        <v>61</v>
      </c>
      <c r="B16" s="8">
        <v>2017.0</v>
      </c>
      <c r="C16" s="9" t="s">
        <v>31</v>
      </c>
      <c r="D16" s="9" t="s">
        <v>19</v>
      </c>
      <c r="E16" s="9" t="s">
        <v>20</v>
      </c>
      <c r="F16" s="10">
        <v>2.4</v>
      </c>
      <c r="G16" s="11">
        <v>108000.0</v>
      </c>
      <c r="H16" s="11" t="s">
        <v>62</v>
      </c>
      <c r="I16" s="12">
        <v>46331.0</v>
      </c>
      <c r="J16" s="16">
        <v>46292.0</v>
      </c>
      <c r="K16" s="13">
        <v>8.89E7</v>
      </c>
      <c r="L16" s="8" t="s">
        <v>33</v>
      </c>
      <c r="M16" s="21" t="s">
        <v>52</v>
      </c>
      <c r="N16" s="15">
        <v>8.89E7</v>
      </c>
      <c r="O16" s="15">
        <f t="shared" si="1"/>
        <v>86900000</v>
      </c>
      <c r="P16" s="4" t="s">
        <v>26</v>
      </c>
      <c r="Q16" s="4"/>
    </row>
    <row r="17">
      <c r="A17" s="7" t="s">
        <v>63</v>
      </c>
      <c r="B17" s="8">
        <v>2011.0</v>
      </c>
      <c r="C17" s="9" t="s">
        <v>18</v>
      </c>
      <c r="D17" s="9" t="s">
        <v>19</v>
      </c>
      <c r="E17" s="9" t="s">
        <v>20</v>
      </c>
      <c r="F17" s="10">
        <v>2.4</v>
      </c>
      <c r="G17" s="11">
        <v>107000.0</v>
      </c>
      <c r="H17" s="11" t="s">
        <v>64</v>
      </c>
      <c r="I17" s="16">
        <v>46035.0</v>
      </c>
      <c r="J17" s="16">
        <v>46170.0</v>
      </c>
      <c r="K17" s="13">
        <v>4.9E7</v>
      </c>
      <c r="L17" s="8" t="s">
        <v>33</v>
      </c>
      <c r="M17" s="21" t="s">
        <v>52</v>
      </c>
      <c r="N17" s="15">
        <v>4.9E7</v>
      </c>
      <c r="O17" s="15">
        <f t="shared" si="1"/>
        <v>47000000</v>
      </c>
      <c r="P17" s="4" t="s">
        <v>26</v>
      </c>
      <c r="Q17" s="4"/>
    </row>
    <row r="18">
      <c r="A18" s="7" t="s">
        <v>65</v>
      </c>
      <c r="B18" s="8">
        <v>2021.0</v>
      </c>
      <c r="C18" s="9" t="s">
        <v>31</v>
      </c>
      <c r="D18" s="9" t="s">
        <v>19</v>
      </c>
      <c r="E18" s="9" t="s">
        <v>35</v>
      </c>
      <c r="F18" s="10">
        <v>2.2</v>
      </c>
      <c r="G18" s="8">
        <v>76000.0</v>
      </c>
      <c r="H18" s="8">
        <v>6.0</v>
      </c>
      <c r="I18" s="16">
        <v>46353.0</v>
      </c>
      <c r="J18" s="12">
        <v>46353.0</v>
      </c>
      <c r="K18" s="17" t="s">
        <v>66</v>
      </c>
      <c r="L18" s="8" t="s">
        <v>33</v>
      </c>
      <c r="M18" s="21" t="s">
        <v>52</v>
      </c>
      <c r="N18" s="15" t="s">
        <v>66</v>
      </c>
      <c r="O18" s="15" t="str">
        <f t="shared" si="1"/>
        <v>#VALUE!</v>
      </c>
      <c r="P18" s="4" t="s">
        <v>26</v>
      </c>
      <c r="Q18" s="4"/>
    </row>
    <row r="19">
      <c r="A19" s="7" t="s">
        <v>67</v>
      </c>
      <c r="B19" s="8">
        <v>2013.0</v>
      </c>
      <c r="C19" s="9" t="s">
        <v>42</v>
      </c>
      <c r="D19" s="9" t="s">
        <v>19</v>
      </c>
      <c r="E19" s="9" t="s">
        <v>68</v>
      </c>
      <c r="F19" s="10">
        <v>1.6</v>
      </c>
      <c r="G19" s="8">
        <v>122000.0</v>
      </c>
      <c r="H19" s="8" t="s">
        <v>69</v>
      </c>
      <c r="I19" s="12">
        <v>46375.0</v>
      </c>
      <c r="J19" s="12">
        <v>46376.0</v>
      </c>
      <c r="K19" s="17">
        <v>5.8E7</v>
      </c>
      <c r="L19" s="8" t="s">
        <v>33</v>
      </c>
      <c r="M19" s="21" t="s">
        <v>52</v>
      </c>
      <c r="N19" s="15">
        <v>5.8E7</v>
      </c>
      <c r="O19" s="15">
        <f t="shared" si="1"/>
        <v>56000000</v>
      </c>
      <c r="P19" s="4" t="s">
        <v>26</v>
      </c>
      <c r="Q19" s="4"/>
    </row>
    <row r="20">
      <c r="A20" s="7" t="s">
        <v>70</v>
      </c>
      <c r="B20" s="8">
        <v>2012.0</v>
      </c>
      <c r="C20" s="9" t="s">
        <v>42</v>
      </c>
      <c r="D20" s="9" t="s">
        <v>19</v>
      </c>
      <c r="E20" s="9" t="s">
        <v>35</v>
      </c>
      <c r="F20" s="10">
        <v>1.2</v>
      </c>
      <c r="G20" s="8">
        <v>127000.0</v>
      </c>
      <c r="H20" s="8" t="s">
        <v>71</v>
      </c>
      <c r="I20" s="16">
        <v>46253.0</v>
      </c>
      <c r="J20" s="16">
        <v>46227.0</v>
      </c>
      <c r="K20" s="17">
        <v>2.79E7</v>
      </c>
      <c r="L20" s="14" t="s">
        <v>33</v>
      </c>
      <c r="M20" s="21" t="s">
        <v>72</v>
      </c>
      <c r="N20" s="15">
        <v>2.79E7</v>
      </c>
      <c r="O20" s="15">
        <f t="shared" si="1"/>
        <v>25900000</v>
      </c>
      <c r="P20" s="4" t="s">
        <v>26</v>
      </c>
      <c r="Q20" s="4"/>
    </row>
    <row r="21">
      <c r="A21" s="7" t="s">
        <v>73</v>
      </c>
      <c r="B21" s="8">
        <v>2010.0</v>
      </c>
      <c r="C21" s="9" t="s">
        <v>28</v>
      </c>
      <c r="D21" s="9" t="s">
        <v>19</v>
      </c>
      <c r="E21" s="9" t="s">
        <v>68</v>
      </c>
      <c r="F21" s="10">
        <v>2.4</v>
      </c>
      <c r="G21" s="8">
        <v>177000.0</v>
      </c>
      <c r="H21" s="8" t="s">
        <v>74</v>
      </c>
      <c r="I21" s="22">
        <v>46082.0</v>
      </c>
      <c r="J21" s="22">
        <v>46235.0</v>
      </c>
      <c r="K21" s="17">
        <v>1.57E8</v>
      </c>
      <c r="L21" s="14" t="s">
        <v>33</v>
      </c>
      <c r="M21" s="21" t="s">
        <v>72</v>
      </c>
      <c r="N21" s="15">
        <v>1.57E8</v>
      </c>
      <c r="O21" s="15">
        <f t="shared" si="1"/>
        <v>155000000</v>
      </c>
      <c r="P21" s="4" t="s">
        <v>26</v>
      </c>
      <c r="Q21" s="4"/>
    </row>
    <row r="22">
      <c r="A22" s="7" t="s">
        <v>75</v>
      </c>
      <c r="B22" s="8">
        <v>2023.0</v>
      </c>
      <c r="C22" s="9" t="s">
        <v>28</v>
      </c>
      <c r="D22" s="9" t="s">
        <v>19</v>
      </c>
      <c r="E22" s="9" t="s">
        <v>20</v>
      </c>
      <c r="F22" s="10">
        <v>2.0</v>
      </c>
      <c r="G22" s="11">
        <v>20000.0</v>
      </c>
      <c r="H22" s="11" t="s">
        <v>76</v>
      </c>
      <c r="I22" s="23">
        <v>46235.0</v>
      </c>
      <c r="J22" s="16">
        <v>46235.0</v>
      </c>
      <c r="K22" s="13">
        <v>1.498E8</v>
      </c>
      <c r="L22" s="14" t="s">
        <v>33</v>
      </c>
      <c r="M22" s="21" t="s">
        <v>72</v>
      </c>
      <c r="N22" s="15">
        <v>1.498E8</v>
      </c>
      <c r="O22" s="15">
        <f t="shared" si="1"/>
        <v>147800000</v>
      </c>
      <c r="P22" s="4" t="s">
        <v>26</v>
      </c>
      <c r="Q22" s="4"/>
    </row>
    <row r="23">
      <c r="A23" s="7" t="s">
        <v>77</v>
      </c>
      <c r="B23" s="24">
        <v>2024.0</v>
      </c>
      <c r="C23" s="9" t="s">
        <v>28</v>
      </c>
      <c r="D23" s="9" t="s">
        <v>19</v>
      </c>
      <c r="E23" s="9" t="s">
        <v>20</v>
      </c>
      <c r="F23" s="10">
        <v>1.6</v>
      </c>
      <c r="G23" s="25">
        <v>25000.0</v>
      </c>
      <c r="H23" s="25" t="s">
        <v>78</v>
      </c>
      <c r="I23" s="26">
        <v>46331.0</v>
      </c>
      <c r="J23" s="27">
        <v>46292.0</v>
      </c>
      <c r="K23" s="28">
        <v>8.59E7</v>
      </c>
      <c r="L23" s="14" t="s">
        <v>33</v>
      </c>
      <c r="M23" s="21" t="s">
        <v>72</v>
      </c>
      <c r="N23" s="15">
        <v>8.59E7</v>
      </c>
      <c r="O23" s="15">
        <f t="shared" si="1"/>
        <v>83900000</v>
      </c>
      <c r="P23" s="4" t="s">
        <v>26</v>
      </c>
      <c r="Q23" s="4"/>
    </row>
    <row r="24">
      <c r="A24" s="7" t="s">
        <v>79</v>
      </c>
      <c r="B24" s="24">
        <v>2012.0</v>
      </c>
      <c r="C24" s="9" t="s">
        <v>51</v>
      </c>
      <c r="D24" s="9" t="s">
        <v>19</v>
      </c>
      <c r="E24" s="9" t="s">
        <v>35</v>
      </c>
      <c r="F24" s="10">
        <v>1.6</v>
      </c>
      <c r="G24" s="11">
        <v>108000.0</v>
      </c>
      <c r="H24" s="25" t="s">
        <v>80</v>
      </c>
      <c r="I24" s="26">
        <v>45717.0</v>
      </c>
      <c r="J24" s="26">
        <v>46295.0</v>
      </c>
      <c r="K24" s="28">
        <v>4.99E7</v>
      </c>
      <c r="L24" s="14" t="s">
        <v>33</v>
      </c>
      <c r="M24" s="21" t="s">
        <v>72</v>
      </c>
      <c r="N24" s="15">
        <v>4.99E7</v>
      </c>
      <c r="O24" s="15">
        <f t="shared" si="1"/>
        <v>47900000</v>
      </c>
      <c r="P24" s="4" t="s">
        <v>26</v>
      </c>
      <c r="Q24" s="4"/>
    </row>
    <row r="25">
      <c r="A25" s="7" t="s">
        <v>81</v>
      </c>
      <c r="B25" s="24">
        <v>2023.0</v>
      </c>
      <c r="C25" s="9" t="s">
        <v>31</v>
      </c>
      <c r="D25" s="9" t="s">
        <v>19</v>
      </c>
      <c r="E25" s="9" t="s">
        <v>20</v>
      </c>
      <c r="F25" s="10">
        <v>2.4</v>
      </c>
      <c r="G25" s="25">
        <v>52000.0</v>
      </c>
      <c r="H25" s="25" t="s">
        <v>82</v>
      </c>
      <c r="I25" s="29">
        <v>46082.0</v>
      </c>
      <c r="J25" s="24" t="s">
        <v>37</v>
      </c>
      <c r="K25" s="28">
        <v>8.19E7</v>
      </c>
      <c r="L25" s="14" t="s">
        <v>33</v>
      </c>
      <c r="M25" s="21" t="s">
        <v>72</v>
      </c>
      <c r="N25" s="15">
        <v>8.19E7</v>
      </c>
      <c r="O25" s="15">
        <f t="shared" si="1"/>
        <v>79900000</v>
      </c>
      <c r="P25" s="4" t="s">
        <v>26</v>
      </c>
      <c r="Q25" s="4"/>
    </row>
    <row r="26">
      <c r="A26" s="7" t="s">
        <v>83</v>
      </c>
      <c r="B26" s="24">
        <v>2021.0</v>
      </c>
      <c r="C26" s="9" t="s">
        <v>51</v>
      </c>
      <c r="D26" s="9" t="s">
        <v>19</v>
      </c>
      <c r="E26" s="9" t="s">
        <v>20</v>
      </c>
      <c r="F26" s="10">
        <v>2.0</v>
      </c>
      <c r="G26" s="25">
        <v>20000.0</v>
      </c>
      <c r="H26" s="25" t="s">
        <v>84</v>
      </c>
      <c r="I26" s="29">
        <v>46235.0</v>
      </c>
      <c r="J26" s="30">
        <v>46376.0</v>
      </c>
      <c r="K26" s="28">
        <v>5.49E7</v>
      </c>
      <c r="L26" s="14" t="s">
        <v>33</v>
      </c>
      <c r="M26" s="21" t="s">
        <v>72</v>
      </c>
      <c r="N26" s="15">
        <v>5.49E7</v>
      </c>
      <c r="O26" s="15">
        <f t="shared" si="1"/>
        <v>52900000</v>
      </c>
      <c r="P26" s="4" t="s">
        <v>26</v>
      </c>
      <c r="Q26" s="4"/>
    </row>
    <row r="27">
      <c r="A27" s="7" t="s">
        <v>85</v>
      </c>
      <c r="B27" s="31">
        <v>2024.0</v>
      </c>
      <c r="C27" s="9" t="s">
        <v>31</v>
      </c>
      <c r="D27" s="9" t="s">
        <v>19</v>
      </c>
      <c r="E27" s="9" t="s">
        <v>20</v>
      </c>
      <c r="F27" s="10">
        <v>1.6</v>
      </c>
      <c r="G27" s="32">
        <v>32000.0</v>
      </c>
      <c r="H27" s="32" t="s">
        <v>86</v>
      </c>
      <c r="I27" s="33">
        <v>46113.0</v>
      </c>
      <c r="J27" s="31" t="s">
        <v>43</v>
      </c>
      <c r="K27" s="34">
        <v>7.59E7</v>
      </c>
      <c r="L27" s="14" t="s">
        <v>33</v>
      </c>
      <c r="M27" s="21" t="s">
        <v>72</v>
      </c>
      <c r="N27" s="15">
        <v>7.59E7</v>
      </c>
      <c r="O27" s="15">
        <f t="shared" si="1"/>
        <v>73900000</v>
      </c>
      <c r="P27" s="4" t="s">
        <v>26</v>
      </c>
      <c r="Q27" s="4"/>
    </row>
    <row r="28">
      <c r="A28" s="7" t="s">
        <v>85</v>
      </c>
      <c r="B28" s="31">
        <v>2024.0</v>
      </c>
      <c r="C28" s="9" t="s">
        <v>31</v>
      </c>
      <c r="D28" s="9" t="s">
        <v>19</v>
      </c>
      <c r="E28" s="9" t="s">
        <v>68</v>
      </c>
      <c r="F28" s="10">
        <v>2.0</v>
      </c>
      <c r="G28" s="32">
        <v>32000.0</v>
      </c>
      <c r="H28" s="32" t="s">
        <v>87</v>
      </c>
      <c r="I28" s="35">
        <v>46266.0</v>
      </c>
      <c r="J28" s="31" t="s">
        <v>43</v>
      </c>
      <c r="K28" s="34">
        <v>7.59E7</v>
      </c>
      <c r="L28" s="14" t="s">
        <v>33</v>
      </c>
      <c r="M28" s="21" t="s">
        <v>72</v>
      </c>
      <c r="N28" s="15">
        <v>7.59E7</v>
      </c>
      <c r="O28" s="15">
        <f t="shared" si="1"/>
        <v>73900000</v>
      </c>
      <c r="P28" s="4" t="s">
        <v>26</v>
      </c>
      <c r="Q28" s="4"/>
    </row>
    <row r="29">
      <c r="A29" s="7" t="s">
        <v>88</v>
      </c>
      <c r="B29" s="8">
        <v>2023.0</v>
      </c>
      <c r="C29" s="9" t="s">
        <v>51</v>
      </c>
      <c r="D29" s="9" t="s">
        <v>19</v>
      </c>
      <c r="E29" s="9" t="s">
        <v>20</v>
      </c>
      <c r="F29" s="10">
        <v>1.4</v>
      </c>
      <c r="G29" s="25">
        <v>15000.0</v>
      </c>
      <c r="H29" s="25" t="s">
        <v>89</v>
      </c>
      <c r="I29" s="8" t="s">
        <v>90</v>
      </c>
      <c r="J29" s="31" t="s">
        <v>43</v>
      </c>
      <c r="K29" s="34">
        <v>1.128E8</v>
      </c>
      <c r="L29" s="14" t="s">
        <v>33</v>
      </c>
      <c r="M29" s="21" t="s">
        <v>72</v>
      </c>
      <c r="N29" s="15">
        <v>1.128E8</v>
      </c>
      <c r="O29" s="15">
        <f t="shared" si="1"/>
        <v>110800000</v>
      </c>
      <c r="P29" s="4" t="s">
        <v>26</v>
      </c>
      <c r="Q29" s="4"/>
    </row>
    <row r="30">
      <c r="A30" s="7" t="s">
        <v>91</v>
      </c>
      <c r="B30" s="8">
        <v>2015.0</v>
      </c>
      <c r="C30" s="9" t="s">
        <v>28</v>
      </c>
      <c r="D30" s="9" t="s">
        <v>19</v>
      </c>
      <c r="E30" s="9" t="s">
        <v>20</v>
      </c>
      <c r="F30" s="10">
        <v>1.6</v>
      </c>
      <c r="G30" s="32">
        <v>80000.0</v>
      </c>
      <c r="H30" s="32" t="s">
        <v>92</v>
      </c>
      <c r="I30" s="36">
        <v>46113.0</v>
      </c>
      <c r="J30" s="35">
        <v>46082.0</v>
      </c>
      <c r="K30" s="34">
        <v>6.59E7</v>
      </c>
      <c r="L30" s="14" t="s">
        <v>33</v>
      </c>
      <c r="M30" s="21" t="s">
        <v>72</v>
      </c>
      <c r="N30" s="15">
        <v>6.59E7</v>
      </c>
      <c r="O30" s="15">
        <f t="shared" si="1"/>
        <v>63900000</v>
      </c>
      <c r="P30" s="4" t="s">
        <v>26</v>
      </c>
      <c r="Q30" s="4"/>
    </row>
    <row r="31">
      <c r="A31" s="7" t="s">
        <v>93</v>
      </c>
      <c r="B31" s="8">
        <v>2012.0</v>
      </c>
      <c r="C31" s="9" t="s">
        <v>18</v>
      </c>
      <c r="D31" s="9" t="s">
        <v>19</v>
      </c>
      <c r="E31" s="9" t="s">
        <v>20</v>
      </c>
      <c r="F31" s="10">
        <v>2.0</v>
      </c>
      <c r="G31" s="25">
        <v>178000.0</v>
      </c>
      <c r="H31" s="25" t="s">
        <v>94</v>
      </c>
      <c r="I31" s="8" t="s">
        <v>90</v>
      </c>
      <c r="J31" s="16">
        <v>46235.0</v>
      </c>
      <c r="K31" s="34">
        <v>1.448E8</v>
      </c>
      <c r="L31" s="14" t="s">
        <v>33</v>
      </c>
      <c r="M31" s="21" t="s">
        <v>72</v>
      </c>
      <c r="N31" s="15">
        <v>1.448E8</v>
      </c>
      <c r="O31" s="15">
        <f t="shared" si="1"/>
        <v>142800000</v>
      </c>
      <c r="P31" s="4" t="s">
        <v>26</v>
      </c>
      <c r="Q31" s="4"/>
    </row>
    <row r="32">
      <c r="A32" s="7" t="s">
        <v>95</v>
      </c>
      <c r="B32" s="8">
        <v>2014.0</v>
      </c>
      <c r="C32" s="9" t="s">
        <v>18</v>
      </c>
      <c r="D32" s="9" t="s">
        <v>19</v>
      </c>
      <c r="E32" s="9" t="s">
        <v>35</v>
      </c>
      <c r="F32" s="10">
        <v>1.5</v>
      </c>
      <c r="G32" s="32">
        <v>88000.0</v>
      </c>
      <c r="H32" s="32" t="s">
        <v>96</v>
      </c>
      <c r="I32" s="26">
        <v>46174.0</v>
      </c>
      <c r="J32" s="27">
        <v>46174.0</v>
      </c>
      <c r="K32" s="34">
        <v>7.78E7</v>
      </c>
      <c r="L32" s="14" t="s">
        <v>33</v>
      </c>
      <c r="M32" s="21" t="s">
        <v>72</v>
      </c>
      <c r="N32" s="15">
        <v>7.78E7</v>
      </c>
      <c r="O32" s="15">
        <f t="shared" si="1"/>
        <v>75800000</v>
      </c>
      <c r="P32" s="4" t="s">
        <v>26</v>
      </c>
      <c r="Q32" s="4"/>
    </row>
    <row r="33">
      <c r="A33" s="7" t="s">
        <v>97</v>
      </c>
      <c r="B33" s="8">
        <v>2019.0</v>
      </c>
      <c r="C33" s="9" t="s">
        <v>28</v>
      </c>
      <c r="D33" s="9" t="s">
        <v>19</v>
      </c>
      <c r="E33" s="9" t="s">
        <v>68</v>
      </c>
      <c r="F33" s="10">
        <v>2.5</v>
      </c>
      <c r="G33" s="11">
        <v>48000.0</v>
      </c>
      <c r="H33" s="32" t="s">
        <v>98</v>
      </c>
      <c r="I33" s="23">
        <v>46113.0</v>
      </c>
      <c r="J33" s="16">
        <v>46113.0</v>
      </c>
      <c r="K33" s="34">
        <v>1.058E8</v>
      </c>
      <c r="L33" s="14" t="s">
        <v>33</v>
      </c>
      <c r="M33" s="21" t="s">
        <v>72</v>
      </c>
      <c r="N33" s="15">
        <v>1.058E8</v>
      </c>
      <c r="O33" s="15">
        <f t="shared" si="1"/>
        <v>103800000</v>
      </c>
      <c r="P33" s="4" t="s">
        <v>26</v>
      </c>
      <c r="Q33" s="4"/>
    </row>
    <row r="34">
      <c r="A34" s="7" t="s">
        <v>99</v>
      </c>
      <c r="B34" s="8">
        <v>2017.0</v>
      </c>
      <c r="C34" s="9" t="s">
        <v>51</v>
      </c>
      <c r="D34" s="9" t="s">
        <v>19</v>
      </c>
      <c r="E34" s="9" t="s">
        <v>20</v>
      </c>
      <c r="F34" s="10">
        <v>2.0</v>
      </c>
      <c r="G34" s="11">
        <v>122000.0</v>
      </c>
      <c r="H34" s="25" t="s">
        <v>100</v>
      </c>
      <c r="I34" s="23">
        <v>46388.0</v>
      </c>
      <c r="J34" s="16">
        <v>46388.0</v>
      </c>
      <c r="K34" s="34">
        <v>4.59E7</v>
      </c>
      <c r="L34" s="14" t="s">
        <v>33</v>
      </c>
      <c r="M34" s="21" t="s">
        <v>72</v>
      </c>
      <c r="N34" s="15">
        <v>4.59E7</v>
      </c>
      <c r="O34" s="15">
        <f t="shared" si="1"/>
        <v>43900000</v>
      </c>
      <c r="P34" s="4" t="s">
        <v>26</v>
      </c>
      <c r="Q34" s="4"/>
    </row>
    <row r="35">
      <c r="A35" s="7" t="s">
        <v>101</v>
      </c>
      <c r="B35" s="8">
        <v>2016.0</v>
      </c>
      <c r="C35" s="9" t="s">
        <v>28</v>
      </c>
      <c r="D35" s="9" t="s">
        <v>19</v>
      </c>
      <c r="E35" s="9" t="s">
        <v>68</v>
      </c>
      <c r="F35" s="10">
        <v>1.8</v>
      </c>
      <c r="G35" s="11">
        <v>56000.0</v>
      </c>
      <c r="H35" s="25" t="s">
        <v>102</v>
      </c>
      <c r="I35" s="23">
        <v>46388.0</v>
      </c>
      <c r="J35" s="16">
        <v>46388.0</v>
      </c>
      <c r="K35" s="34">
        <v>4.39E7</v>
      </c>
      <c r="L35" s="14" t="s">
        <v>33</v>
      </c>
      <c r="M35" s="20" t="s">
        <v>103</v>
      </c>
      <c r="N35" s="15">
        <v>4.39E7</v>
      </c>
      <c r="O35" s="15">
        <f t="shared" si="1"/>
        <v>41900000</v>
      </c>
      <c r="P35" s="4" t="s">
        <v>26</v>
      </c>
      <c r="Q35" s="4"/>
    </row>
    <row r="36">
      <c r="A36" s="7" t="s">
        <v>104</v>
      </c>
      <c r="B36" s="8">
        <v>2018.0</v>
      </c>
      <c r="C36" s="9" t="s">
        <v>51</v>
      </c>
      <c r="D36" s="9" t="s">
        <v>19</v>
      </c>
      <c r="E36" s="9" t="s">
        <v>35</v>
      </c>
      <c r="F36" s="10">
        <v>1.0</v>
      </c>
      <c r="G36" s="18"/>
      <c r="H36" s="11" t="s">
        <v>105</v>
      </c>
      <c r="I36" s="37"/>
      <c r="J36" s="38"/>
      <c r="K36" s="34" t="s">
        <v>106</v>
      </c>
      <c r="L36" s="14" t="s">
        <v>33</v>
      </c>
      <c r="M36" s="20" t="s">
        <v>103</v>
      </c>
      <c r="N36" s="15" t="s">
        <v>106</v>
      </c>
      <c r="O36" s="39" t="s">
        <v>106</v>
      </c>
      <c r="P36" s="4" t="s">
        <v>26</v>
      </c>
      <c r="Q36" s="4"/>
    </row>
    <row r="37">
      <c r="A37" s="7" t="s">
        <v>107</v>
      </c>
      <c r="B37" s="8">
        <v>2016.0</v>
      </c>
      <c r="C37" s="9" t="s">
        <v>28</v>
      </c>
      <c r="D37" s="9" t="s">
        <v>19</v>
      </c>
      <c r="E37" s="9" t="s">
        <v>20</v>
      </c>
      <c r="F37" s="10">
        <v>1.6</v>
      </c>
      <c r="G37" s="18"/>
      <c r="H37" s="11" t="s">
        <v>108</v>
      </c>
      <c r="I37" s="37"/>
      <c r="J37" s="38"/>
      <c r="K37" s="34" t="s">
        <v>109</v>
      </c>
      <c r="L37" s="14" t="s">
        <v>33</v>
      </c>
      <c r="M37" s="20" t="s">
        <v>103</v>
      </c>
      <c r="N37" s="15" t="s">
        <v>110</v>
      </c>
      <c r="O37" s="39" t="s">
        <v>109</v>
      </c>
      <c r="P37" s="4" t="s">
        <v>26</v>
      </c>
      <c r="Q37" s="4"/>
    </row>
    <row r="38">
      <c r="A38" s="7" t="s">
        <v>111</v>
      </c>
      <c r="B38" s="8">
        <v>2014.0</v>
      </c>
      <c r="C38" s="9" t="s">
        <v>56</v>
      </c>
      <c r="D38" s="9" t="s">
        <v>19</v>
      </c>
      <c r="E38" s="9" t="s">
        <v>68</v>
      </c>
      <c r="F38" s="10">
        <v>1.4</v>
      </c>
      <c r="G38" s="18"/>
      <c r="H38" s="11" t="s">
        <v>112</v>
      </c>
      <c r="I38" s="37"/>
      <c r="J38" s="40"/>
      <c r="K38" s="34" t="s">
        <v>113</v>
      </c>
      <c r="L38" s="14" t="s">
        <v>33</v>
      </c>
      <c r="M38" s="20" t="s">
        <v>103</v>
      </c>
      <c r="N38" s="15" t="s">
        <v>113</v>
      </c>
      <c r="O38" s="39" t="s">
        <v>113</v>
      </c>
      <c r="P38" s="4" t="s">
        <v>26</v>
      </c>
      <c r="Q38" s="4"/>
    </row>
    <row r="39">
      <c r="A39" s="7" t="s">
        <v>114</v>
      </c>
      <c r="B39" s="8">
        <v>2016.0</v>
      </c>
      <c r="C39" s="9" t="s">
        <v>51</v>
      </c>
      <c r="D39" s="9" t="s">
        <v>115</v>
      </c>
      <c r="E39" s="9" t="s">
        <v>35</v>
      </c>
      <c r="F39" s="10">
        <v>1.2</v>
      </c>
      <c r="G39" s="18"/>
      <c r="H39" s="11" t="s">
        <v>116</v>
      </c>
      <c r="I39" s="40"/>
      <c r="J39" s="38"/>
      <c r="K39" s="34" t="s">
        <v>117</v>
      </c>
      <c r="L39" s="14" t="s">
        <v>33</v>
      </c>
      <c r="M39" s="20" t="s">
        <v>103</v>
      </c>
      <c r="N39" s="15" t="s">
        <v>117</v>
      </c>
      <c r="O39" s="39" t="s">
        <v>117</v>
      </c>
      <c r="P39" s="4" t="s">
        <v>26</v>
      </c>
      <c r="Q39" s="4"/>
    </row>
    <row r="40">
      <c r="A40" s="7" t="s">
        <v>118</v>
      </c>
      <c r="B40" s="8">
        <v>2012.0</v>
      </c>
      <c r="C40" s="9" t="s">
        <v>28</v>
      </c>
      <c r="D40" s="9" t="s">
        <v>19</v>
      </c>
      <c r="E40" s="9" t="s">
        <v>20</v>
      </c>
      <c r="F40" s="10">
        <v>3.6</v>
      </c>
      <c r="G40" s="18"/>
      <c r="H40" s="11" t="s">
        <v>119</v>
      </c>
      <c r="I40" s="40"/>
      <c r="J40" s="38"/>
      <c r="K40" s="34" t="s">
        <v>120</v>
      </c>
      <c r="L40" s="14" t="s">
        <v>33</v>
      </c>
      <c r="M40" s="20" t="s">
        <v>103</v>
      </c>
      <c r="N40" s="15" t="s">
        <v>120</v>
      </c>
      <c r="O40" s="39" t="s">
        <v>120</v>
      </c>
      <c r="P40" s="4" t="s">
        <v>26</v>
      </c>
      <c r="Q40" s="4"/>
    </row>
    <row r="41">
      <c r="A41" s="7" t="s">
        <v>121</v>
      </c>
      <c r="B41" s="8">
        <v>2016.0</v>
      </c>
      <c r="C41" s="9" t="s">
        <v>31</v>
      </c>
      <c r="D41" s="9" t="s">
        <v>19</v>
      </c>
      <c r="E41" s="9" t="s">
        <v>68</v>
      </c>
      <c r="F41" s="10">
        <v>1.0</v>
      </c>
      <c r="G41" s="18"/>
      <c r="H41" s="11" t="s">
        <v>122</v>
      </c>
      <c r="I41" s="37"/>
      <c r="J41" s="38"/>
      <c r="K41" s="34" t="s">
        <v>123</v>
      </c>
      <c r="L41" s="14" t="s">
        <v>24</v>
      </c>
      <c r="M41" s="20" t="s">
        <v>103</v>
      </c>
      <c r="N41" s="15" t="s">
        <v>123</v>
      </c>
      <c r="O41" s="39" t="s">
        <v>123</v>
      </c>
      <c r="P41" s="4" t="s">
        <v>26</v>
      </c>
      <c r="Q41" s="4"/>
    </row>
    <row r="42">
      <c r="A42" s="7" t="s">
        <v>124</v>
      </c>
      <c r="B42" s="8">
        <v>2014.0</v>
      </c>
      <c r="C42" s="9" t="s">
        <v>18</v>
      </c>
      <c r="D42" s="9" t="s">
        <v>19</v>
      </c>
      <c r="E42" s="9" t="s">
        <v>68</v>
      </c>
      <c r="F42" s="10">
        <v>1.5</v>
      </c>
      <c r="G42" s="18"/>
      <c r="H42" s="11" t="s">
        <v>125</v>
      </c>
      <c r="I42" s="37"/>
      <c r="J42" s="40"/>
      <c r="K42" s="34" t="s">
        <v>126</v>
      </c>
      <c r="L42" s="14" t="s">
        <v>33</v>
      </c>
      <c r="M42" s="20" t="s">
        <v>103</v>
      </c>
      <c r="N42" s="15" t="s">
        <v>126</v>
      </c>
      <c r="O42" s="39" t="s">
        <v>126</v>
      </c>
      <c r="P42" s="4" t="s">
        <v>26</v>
      </c>
      <c r="Q42" s="4"/>
    </row>
    <row r="43">
      <c r="A43" s="7" t="s">
        <v>127</v>
      </c>
      <c r="B43" s="8">
        <v>2018.0</v>
      </c>
      <c r="C43" s="9" t="s">
        <v>31</v>
      </c>
      <c r="D43" s="9" t="s">
        <v>19</v>
      </c>
      <c r="E43" s="9" t="s">
        <v>68</v>
      </c>
      <c r="F43" s="10">
        <v>2.0</v>
      </c>
      <c r="G43" s="18"/>
      <c r="H43" s="11" t="s">
        <v>128</v>
      </c>
      <c r="I43" s="37"/>
      <c r="J43" s="9"/>
      <c r="K43" s="34" t="s">
        <v>129</v>
      </c>
      <c r="L43" s="14" t="s">
        <v>33</v>
      </c>
      <c r="M43" s="20" t="s">
        <v>103</v>
      </c>
      <c r="N43" s="15" t="s">
        <v>129</v>
      </c>
      <c r="O43" s="39" t="s">
        <v>129</v>
      </c>
      <c r="P43" s="4" t="s">
        <v>26</v>
      </c>
      <c r="Q43" s="4"/>
    </row>
    <row r="44">
      <c r="A44" s="7" t="s">
        <v>130</v>
      </c>
      <c r="B44" s="8">
        <v>2016.0</v>
      </c>
      <c r="C44" s="9" t="s">
        <v>42</v>
      </c>
      <c r="D44" s="9" t="s">
        <v>19</v>
      </c>
      <c r="E44" s="9" t="s">
        <v>68</v>
      </c>
      <c r="F44" s="10">
        <v>1.3</v>
      </c>
      <c r="G44" s="18"/>
      <c r="H44" s="11" t="s">
        <v>131</v>
      </c>
      <c r="I44" s="37"/>
      <c r="J44" s="37"/>
      <c r="K44" s="34" t="s">
        <v>132</v>
      </c>
      <c r="L44" s="14" t="s">
        <v>33</v>
      </c>
      <c r="M44" s="20" t="s">
        <v>103</v>
      </c>
      <c r="N44" s="15" t="s">
        <v>132</v>
      </c>
      <c r="O44" s="39" t="s">
        <v>132</v>
      </c>
      <c r="P44" s="4" t="s">
        <v>26</v>
      </c>
      <c r="Q44" s="4"/>
    </row>
    <row r="45">
      <c r="A45" s="7" t="s">
        <v>133</v>
      </c>
      <c r="B45" s="8">
        <v>2011.0</v>
      </c>
      <c r="C45" s="9" t="s">
        <v>42</v>
      </c>
      <c r="D45" s="9" t="s">
        <v>19</v>
      </c>
      <c r="E45" s="9" t="s">
        <v>35</v>
      </c>
      <c r="F45" s="10">
        <v>1.6</v>
      </c>
      <c r="G45" s="18"/>
      <c r="H45" s="11" t="s">
        <v>134</v>
      </c>
      <c r="I45" s="37"/>
      <c r="J45" s="37"/>
      <c r="K45" s="34">
        <v>3.29E7</v>
      </c>
      <c r="L45" s="14" t="s">
        <v>33</v>
      </c>
      <c r="M45" s="20" t="s">
        <v>103</v>
      </c>
      <c r="N45" s="15">
        <v>3.29E7</v>
      </c>
      <c r="O45" s="15">
        <f t="shared" ref="O45:O46" si="2">(K45-2000000)</f>
        <v>30900000</v>
      </c>
      <c r="P45" s="4" t="s">
        <v>26</v>
      </c>
      <c r="Q45" s="4"/>
    </row>
    <row r="46">
      <c r="A46" s="7" t="s">
        <v>135</v>
      </c>
      <c r="B46" s="8">
        <v>2017.0</v>
      </c>
      <c r="C46" s="9" t="s">
        <v>28</v>
      </c>
      <c r="D46" s="9" t="s">
        <v>19</v>
      </c>
      <c r="E46" s="9" t="s">
        <v>20</v>
      </c>
      <c r="F46" s="10">
        <v>2.0</v>
      </c>
      <c r="G46" s="18"/>
      <c r="H46" s="11" t="s">
        <v>136</v>
      </c>
      <c r="I46" s="37"/>
      <c r="J46" s="37"/>
      <c r="K46" s="34">
        <v>4.69E7</v>
      </c>
      <c r="L46" s="14" t="s">
        <v>24</v>
      </c>
      <c r="M46" s="20" t="s">
        <v>103</v>
      </c>
      <c r="N46" s="15">
        <v>4.69E7</v>
      </c>
      <c r="O46" s="15">
        <f t="shared" si="2"/>
        <v>44900000</v>
      </c>
      <c r="P46" s="4" t="s">
        <v>137</v>
      </c>
      <c r="Q46" s="4"/>
    </row>
    <row r="47">
      <c r="A47" s="7" t="s">
        <v>138</v>
      </c>
      <c r="B47" s="8">
        <v>2007.0</v>
      </c>
      <c r="C47" s="9" t="s">
        <v>28</v>
      </c>
      <c r="D47" s="9" t="s">
        <v>115</v>
      </c>
      <c r="E47" s="9" t="s">
        <v>20</v>
      </c>
      <c r="F47" s="10">
        <v>1.8</v>
      </c>
      <c r="G47" s="18"/>
      <c r="H47" s="11" t="s">
        <v>139</v>
      </c>
      <c r="I47" s="37"/>
      <c r="J47" s="37"/>
      <c r="K47" s="34" t="s">
        <v>140</v>
      </c>
      <c r="L47" s="14" t="s">
        <v>33</v>
      </c>
      <c r="M47" s="20" t="s">
        <v>103</v>
      </c>
      <c r="N47" s="15" t="s">
        <v>140</v>
      </c>
      <c r="O47" s="39" t="s">
        <v>140</v>
      </c>
      <c r="P47" s="4" t="s">
        <v>137</v>
      </c>
      <c r="Q47" s="4"/>
    </row>
    <row r="48">
      <c r="A48" s="7" t="s">
        <v>141</v>
      </c>
      <c r="B48" s="8">
        <v>2019.0</v>
      </c>
      <c r="C48" s="9" t="s">
        <v>28</v>
      </c>
      <c r="D48" s="9" t="s">
        <v>19</v>
      </c>
      <c r="E48" s="9" t="s">
        <v>20</v>
      </c>
      <c r="F48" s="10">
        <v>2.0</v>
      </c>
      <c r="G48" s="18"/>
      <c r="H48" s="11" t="s">
        <v>142</v>
      </c>
      <c r="I48" s="37"/>
      <c r="J48" s="37"/>
      <c r="K48" s="34" t="s">
        <v>143</v>
      </c>
      <c r="L48" s="14" t="s">
        <v>33</v>
      </c>
      <c r="M48" s="20" t="s">
        <v>103</v>
      </c>
      <c r="N48" s="15" t="s">
        <v>143</v>
      </c>
      <c r="O48" s="39" t="s">
        <v>143</v>
      </c>
      <c r="P48" s="4" t="s">
        <v>137</v>
      </c>
      <c r="Q48" s="4"/>
    </row>
    <row r="49">
      <c r="A49" s="7" t="s">
        <v>144</v>
      </c>
      <c r="B49" s="8">
        <v>2013.0</v>
      </c>
      <c r="C49" s="9" t="s">
        <v>51</v>
      </c>
      <c r="D49" s="9" t="s">
        <v>19</v>
      </c>
      <c r="E49" s="9" t="s">
        <v>20</v>
      </c>
      <c r="F49" s="10">
        <v>1.5</v>
      </c>
      <c r="G49" s="18"/>
      <c r="H49" s="11" t="s">
        <v>145</v>
      </c>
      <c r="I49" s="37"/>
      <c r="J49" s="37"/>
      <c r="K49" s="34" t="s">
        <v>146</v>
      </c>
      <c r="L49" s="14" t="s">
        <v>33</v>
      </c>
      <c r="M49" s="20" t="s">
        <v>103</v>
      </c>
      <c r="N49" s="15" t="s">
        <v>146</v>
      </c>
      <c r="O49" s="39" t="s">
        <v>146</v>
      </c>
      <c r="P49" s="4" t="s">
        <v>137</v>
      </c>
      <c r="Q49" s="4"/>
    </row>
    <row r="50">
      <c r="A50" s="7" t="s">
        <v>147</v>
      </c>
      <c r="B50" s="8">
        <v>2022.0</v>
      </c>
      <c r="C50" s="9" t="s">
        <v>31</v>
      </c>
      <c r="D50" s="9" t="s">
        <v>19</v>
      </c>
      <c r="E50" s="9" t="s">
        <v>20</v>
      </c>
      <c r="F50" s="10">
        <v>3.3</v>
      </c>
      <c r="G50" s="18"/>
      <c r="H50" s="11" t="s">
        <v>148</v>
      </c>
      <c r="I50" s="9"/>
      <c r="J50" s="9"/>
      <c r="K50" s="34" t="s">
        <v>129</v>
      </c>
      <c r="L50" s="14" t="s">
        <v>33</v>
      </c>
      <c r="M50" s="20" t="s">
        <v>103</v>
      </c>
      <c r="N50" s="15" t="s">
        <v>129</v>
      </c>
      <c r="O50" s="39" t="s">
        <v>129</v>
      </c>
      <c r="P50" s="4" t="s">
        <v>137</v>
      </c>
      <c r="Q50" s="4"/>
    </row>
    <row r="51">
      <c r="A51" s="7" t="s">
        <v>149</v>
      </c>
      <c r="B51" s="8">
        <v>2017.0</v>
      </c>
      <c r="C51" s="9" t="s">
        <v>51</v>
      </c>
      <c r="D51" s="9" t="s">
        <v>19</v>
      </c>
      <c r="E51" s="9" t="s">
        <v>20</v>
      </c>
      <c r="F51" s="10">
        <v>1.6</v>
      </c>
      <c r="G51" s="18"/>
      <c r="H51" s="11" t="s">
        <v>150</v>
      </c>
      <c r="I51" s="9"/>
      <c r="J51" s="9"/>
      <c r="K51" s="34" t="s">
        <v>123</v>
      </c>
      <c r="L51" s="14" t="s">
        <v>33</v>
      </c>
      <c r="M51" s="20" t="s">
        <v>103</v>
      </c>
      <c r="N51" s="15" t="s">
        <v>123</v>
      </c>
      <c r="O51" s="39" t="s">
        <v>123</v>
      </c>
      <c r="P51" s="4" t="s">
        <v>137</v>
      </c>
      <c r="Q51" s="4"/>
    </row>
    <row r="52">
      <c r="A52" s="7" t="s">
        <v>151</v>
      </c>
      <c r="B52" s="8">
        <v>2017.0</v>
      </c>
      <c r="C52" s="9" t="s">
        <v>31</v>
      </c>
      <c r="D52" s="9" t="s">
        <v>19</v>
      </c>
      <c r="E52" s="9" t="s">
        <v>20</v>
      </c>
      <c r="F52" s="10">
        <v>2.0</v>
      </c>
      <c r="G52" s="18"/>
      <c r="H52" s="11" t="s">
        <v>152</v>
      </c>
      <c r="I52" s="40"/>
      <c r="J52" s="40"/>
      <c r="K52" s="34" t="s">
        <v>153</v>
      </c>
      <c r="L52" s="14" t="s">
        <v>33</v>
      </c>
      <c r="M52" s="20" t="s">
        <v>103</v>
      </c>
      <c r="N52" s="15" t="s">
        <v>153</v>
      </c>
      <c r="O52" s="39" t="s">
        <v>153</v>
      </c>
      <c r="P52" s="4" t="s">
        <v>137</v>
      </c>
      <c r="Q52" s="4"/>
    </row>
    <row r="53">
      <c r="A53" s="7" t="s">
        <v>154</v>
      </c>
      <c r="B53" s="8">
        <v>2024.0</v>
      </c>
      <c r="C53" s="9" t="s">
        <v>31</v>
      </c>
      <c r="D53" s="9" t="s">
        <v>19</v>
      </c>
      <c r="E53" s="9" t="s">
        <v>20</v>
      </c>
      <c r="F53" s="10">
        <v>2.0</v>
      </c>
      <c r="G53" s="18"/>
      <c r="H53" s="11" t="s">
        <v>155</v>
      </c>
      <c r="I53" s="9"/>
      <c r="J53" s="9"/>
      <c r="K53" s="34" t="s">
        <v>156</v>
      </c>
      <c r="L53" s="14" t="s">
        <v>33</v>
      </c>
      <c r="M53" s="20" t="s">
        <v>103</v>
      </c>
      <c r="N53" s="15" t="s">
        <v>156</v>
      </c>
      <c r="O53" s="39" t="s">
        <v>156</v>
      </c>
      <c r="P53" s="4" t="s">
        <v>137</v>
      </c>
      <c r="Q53" s="4"/>
    </row>
    <row r="54">
      <c r="A54" s="7" t="s">
        <v>157</v>
      </c>
      <c r="B54" s="8">
        <v>2018.0</v>
      </c>
      <c r="C54" s="9" t="s">
        <v>51</v>
      </c>
      <c r="D54" s="9" t="s">
        <v>19</v>
      </c>
      <c r="E54" s="9" t="s">
        <v>35</v>
      </c>
      <c r="F54" s="10">
        <v>1.6</v>
      </c>
      <c r="G54" s="18"/>
      <c r="H54" s="11" t="s">
        <v>158</v>
      </c>
      <c r="I54" s="9"/>
      <c r="J54" s="9"/>
      <c r="K54" s="34" t="s">
        <v>156</v>
      </c>
      <c r="L54" s="14" t="s">
        <v>33</v>
      </c>
      <c r="M54" s="20" t="s">
        <v>103</v>
      </c>
      <c r="N54" s="15" t="s">
        <v>156</v>
      </c>
      <c r="O54" s="39" t="s">
        <v>156</v>
      </c>
      <c r="P54" s="4" t="s">
        <v>137</v>
      </c>
      <c r="Q54" s="4"/>
    </row>
    <row r="55">
      <c r="A55" s="7" t="s">
        <v>159</v>
      </c>
      <c r="B55" s="8">
        <v>2016.0</v>
      </c>
      <c r="C55" s="9" t="s">
        <v>28</v>
      </c>
      <c r="D55" s="9" t="s">
        <v>19</v>
      </c>
      <c r="E55" s="9" t="s">
        <v>20</v>
      </c>
      <c r="F55" s="10">
        <v>1.5</v>
      </c>
      <c r="G55" s="18"/>
      <c r="H55" s="11" t="s">
        <v>160</v>
      </c>
      <c r="I55" s="9"/>
      <c r="J55" s="41"/>
      <c r="K55" s="34" t="s">
        <v>161</v>
      </c>
      <c r="L55" s="14" t="s">
        <v>33</v>
      </c>
      <c r="M55" s="20" t="s">
        <v>103</v>
      </c>
      <c r="N55" s="15" t="s">
        <v>161</v>
      </c>
      <c r="O55" s="39" t="s">
        <v>161</v>
      </c>
      <c r="P55" s="4" t="s">
        <v>137</v>
      </c>
      <c r="Q55" s="4"/>
    </row>
    <row r="56">
      <c r="A56" s="7" t="s">
        <v>162</v>
      </c>
      <c r="B56" s="8">
        <v>2025.0</v>
      </c>
      <c r="C56" s="9" t="s">
        <v>18</v>
      </c>
      <c r="D56" s="9" t="s">
        <v>19</v>
      </c>
      <c r="E56" s="9" t="s">
        <v>20</v>
      </c>
      <c r="F56" s="10">
        <v>3.5</v>
      </c>
      <c r="G56" s="18"/>
      <c r="H56" s="11" t="s">
        <v>163</v>
      </c>
      <c r="I56" s="9"/>
      <c r="J56" s="41"/>
      <c r="K56" s="34" t="s">
        <v>164</v>
      </c>
      <c r="L56" s="14" t="s">
        <v>33</v>
      </c>
      <c r="M56" s="20" t="s">
        <v>103</v>
      </c>
      <c r="N56" s="15" t="s">
        <v>164</v>
      </c>
      <c r="O56" s="39" t="s">
        <v>164</v>
      </c>
      <c r="P56" s="4" t="s">
        <v>137</v>
      </c>
      <c r="Q56" s="4"/>
    </row>
    <row r="57">
      <c r="A57" s="7" t="s">
        <v>165</v>
      </c>
      <c r="B57" s="8">
        <v>2022.0</v>
      </c>
      <c r="C57" s="9" t="s">
        <v>18</v>
      </c>
      <c r="D57" s="9" t="s">
        <v>19</v>
      </c>
      <c r="E57" s="9" t="s">
        <v>20</v>
      </c>
      <c r="F57" s="10">
        <v>1.6</v>
      </c>
      <c r="G57" s="18"/>
      <c r="H57" s="11" t="s">
        <v>166</v>
      </c>
      <c r="I57" s="9"/>
      <c r="J57" s="41"/>
      <c r="K57" s="34" t="s">
        <v>167</v>
      </c>
      <c r="L57" s="14" t="s">
        <v>33</v>
      </c>
      <c r="M57" s="20" t="s">
        <v>103</v>
      </c>
      <c r="N57" s="15" t="s">
        <v>167</v>
      </c>
      <c r="O57" s="39" t="s">
        <v>167</v>
      </c>
      <c r="P57" s="4" t="s">
        <v>137</v>
      </c>
      <c r="Q57" s="4"/>
    </row>
    <row r="58">
      <c r="A58" s="7" t="s">
        <v>168</v>
      </c>
      <c r="B58" s="8">
        <v>2009.0</v>
      </c>
      <c r="C58" s="9" t="s">
        <v>28</v>
      </c>
      <c r="D58" s="9" t="s">
        <v>19</v>
      </c>
      <c r="E58" s="9" t="s">
        <v>20</v>
      </c>
      <c r="F58" s="10">
        <v>2.0</v>
      </c>
      <c r="G58" s="18"/>
      <c r="H58" s="11" t="s">
        <v>169</v>
      </c>
      <c r="I58" s="9"/>
      <c r="J58" s="41"/>
      <c r="K58" s="34" t="s">
        <v>170</v>
      </c>
      <c r="L58" s="14" t="s">
        <v>33</v>
      </c>
      <c r="M58" s="20" t="s">
        <v>103</v>
      </c>
      <c r="N58" s="15" t="s">
        <v>170</v>
      </c>
      <c r="O58" s="39" t="s">
        <v>170</v>
      </c>
      <c r="P58" s="4" t="s">
        <v>137</v>
      </c>
      <c r="Q58" s="4"/>
    </row>
    <row r="59">
      <c r="A59" s="7" t="s">
        <v>171</v>
      </c>
      <c r="B59" s="8">
        <v>2007.0</v>
      </c>
      <c r="C59" s="9" t="s">
        <v>51</v>
      </c>
      <c r="D59" s="9" t="s">
        <v>19</v>
      </c>
      <c r="E59" s="9" t="s">
        <v>35</v>
      </c>
      <c r="F59" s="10">
        <v>1.0</v>
      </c>
      <c r="G59" s="18"/>
      <c r="H59" s="11" t="s">
        <v>172</v>
      </c>
      <c r="I59" s="9"/>
      <c r="J59" s="41"/>
      <c r="K59" s="34" t="s">
        <v>173</v>
      </c>
      <c r="L59" s="14" t="s">
        <v>33</v>
      </c>
      <c r="M59" s="20" t="s">
        <v>103</v>
      </c>
      <c r="N59" s="15" t="s">
        <v>173</v>
      </c>
      <c r="O59" s="39" t="s">
        <v>173</v>
      </c>
      <c r="P59" s="4" t="s">
        <v>137</v>
      </c>
      <c r="Q59" s="4"/>
    </row>
    <row r="60">
      <c r="A60" s="7" t="s">
        <v>174</v>
      </c>
      <c r="B60" s="8">
        <v>2023.0</v>
      </c>
      <c r="C60" s="9" t="s">
        <v>28</v>
      </c>
      <c r="D60" s="9" t="s">
        <v>19</v>
      </c>
      <c r="E60" s="9" t="s">
        <v>20</v>
      </c>
      <c r="F60" s="10">
        <v>2.0</v>
      </c>
      <c r="G60" s="18"/>
      <c r="H60" s="11" t="s">
        <v>175</v>
      </c>
      <c r="I60" s="9"/>
      <c r="J60" s="41"/>
      <c r="K60" s="34" t="s">
        <v>176</v>
      </c>
      <c r="L60" s="14" t="s">
        <v>33</v>
      </c>
      <c r="M60" s="20" t="s">
        <v>103</v>
      </c>
      <c r="N60" s="15" t="s">
        <v>176</v>
      </c>
      <c r="O60" s="39" t="s">
        <v>176</v>
      </c>
      <c r="P60" s="4" t="s">
        <v>137</v>
      </c>
      <c r="Q60" s="4"/>
    </row>
    <row r="61">
      <c r="A61" s="7" t="s">
        <v>177</v>
      </c>
      <c r="B61" s="8">
        <v>2016.0</v>
      </c>
      <c r="C61" s="9" t="s">
        <v>51</v>
      </c>
      <c r="D61" s="9" t="s">
        <v>178</v>
      </c>
      <c r="E61" s="9" t="s">
        <v>20</v>
      </c>
      <c r="F61" s="10">
        <v>3.0</v>
      </c>
      <c r="G61" s="18"/>
      <c r="H61" s="11" t="s">
        <v>179</v>
      </c>
      <c r="I61" s="9"/>
      <c r="J61" s="41"/>
      <c r="K61" s="34">
        <v>2.179E8</v>
      </c>
      <c r="L61" s="14" t="s">
        <v>33</v>
      </c>
      <c r="M61" s="20" t="s">
        <v>103</v>
      </c>
      <c r="N61" s="42" t="s">
        <v>180</v>
      </c>
      <c r="O61" s="15">
        <f>(K61-2000000)</f>
        <v>215900000</v>
      </c>
      <c r="P61" s="4" t="s">
        <v>137</v>
      </c>
      <c r="Q61" s="4"/>
    </row>
    <row r="62">
      <c r="A62" s="7" t="s">
        <v>181</v>
      </c>
      <c r="B62" s="8">
        <v>2017.0</v>
      </c>
      <c r="C62" s="9" t="s">
        <v>28</v>
      </c>
      <c r="D62" s="9" t="s">
        <v>19</v>
      </c>
      <c r="E62" s="9" t="s">
        <v>20</v>
      </c>
      <c r="F62" s="10">
        <v>1.6</v>
      </c>
      <c r="G62" s="18"/>
      <c r="H62" s="11" t="s">
        <v>182</v>
      </c>
      <c r="I62" s="9"/>
      <c r="J62" s="41"/>
      <c r="K62" s="34" t="s">
        <v>183</v>
      </c>
      <c r="L62" s="14" t="s">
        <v>33</v>
      </c>
      <c r="M62" s="20" t="s">
        <v>103</v>
      </c>
      <c r="N62" s="15" t="s">
        <v>183</v>
      </c>
      <c r="O62" s="39" t="s">
        <v>183</v>
      </c>
      <c r="P62" s="4" t="s">
        <v>137</v>
      </c>
      <c r="Q62" s="4"/>
    </row>
    <row r="63">
      <c r="A63" s="7" t="s">
        <v>184</v>
      </c>
      <c r="B63" s="8">
        <v>2023.0</v>
      </c>
      <c r="C63" s="9" t="s">
        <v>56</v>
      </c>
      <c r="D63" s="9" t="s">
        <v>19</v>
      </c>
      <c r="E63" s="9" t="s">
        <v>20</v>
      </c>
      <c r="F63" s="10">
        <v>2.0</v>
      </c>
      <c r="G63" s="18"/>
      <c r="H63" s="11" t="s">
        <v>185</v>
      </c>
      <c r="I63" s="9"/>
      <c r="J63" s="41"/>
      <c r="K63" s="34">
        <v>1.069E8</v>
      </c>
      <c r="L63" s="14" t="s">
        <v>33</v>
      </c>
      <c r="M63" s="20" t="s">
        <v>103</v>
      </c>
      <c r="N63" s="42" t="s">
        <v>186</v>
      </c>
      <c r="O63" s="15">
        <f>(K63-2000000)</f>
        <v>104900000</v>
      </c>
      <c r="P63" s="4" t="s">
        <v>137</v>
      </c>
      <c r="Q63" s="4"/>
    </row>
    <row r="64">
      <c r="A64" s="7" t="s">
        <v>187</v>
      </c>
      <c r="B64" s="8">
        <v>2011.0</v>
      </c>
      <c r="C64" s="9" t="s">
        <v>51</v>
      </c>
      <c r="D64" s="9" t="s">
        <v>19</v>
      </c>
      <c r="E64" s="9" t="s">
        <v>20</v>
      </c>
      <c r="F64" s="10">
        <v>2.0</v>
      </c>
      <c r="G64" s="18"/>
      <c r="H64" s="11" t="s">
        <v>188</v>
      </c>
      <c r="I64" s="9"/>
      <c r="J64" s="41"/>
      <c r="K64" s="34" t="s">
        <v>170</v>
      </c>
      <c r="L64" s="14" t="s">
        <v>33</v>
      </c>
      <c r="M64" s="20" t="s">
        <v>103</v>
      </c>
      <c r="N64" s="15" t="s">
        <v>170</v>
      </c>
      <c r="O64" s="39" t="s">
        <v>170</v>
      </c>
      <c r="P64" s="4" t="s">
        <v>137</v>
      </c>
      <c r="Q64" s="4"/>
    </row>
    <row r="65">
      <c r="A65" s="7" t="s">
        <v>189</v>
      </c>
      <c r="B65" s="8">
        <v>2013.0</v>
      </c>
      <c r="C65" s="9" t="s">
        <v>28</v>
      </c>
      <c r="D65" s="9" t="s">
        <v>19</v>
      </c>
      <c r="E65" s="9" t="s">
        <v>35</v>
      </c>
      <c r="F65" s="10">
        <v>1.3</v>
      </c>
      <c r="G65" s="18"/>
      <c r="H65" s="11" t="s">
        <v>190</v>
      </c>
      <c r="I65" s="9"/>
      <c r="J65" s="41"/>
      <c r="K65" s="34" t="s">
        <v>191</v>
      </c>
      <c r="L65" s="14" t="s">
        <v>33</v>
      </c>
      <c r="M65" s="20" t="s">
        <v>103</v>
      </c>
      <c r="N65" s="15" t="s">
        <v>191</v>
      </c>
      <c r="O65" s="39" t="s">
        <v>191</v>
      </c>
      <c r="P65" s="4" t="s">
        <v>137</v>
      </c>
      <c r="Q65" s="4"/>
    </row>
    <row r="66">
      <c r="A66" s="7" t="s">
        <v>192</v>
      </c>
      <c r="B66" s="8">
        <v>2020.0</v>
      </c>
      <c r="C66" s="9" t="s">
        <v>31</v>
      </c>
      <c r="D66" s="9" t="s">
        <v>19</v>
      </c>
      <c r="E66" s="9" t="s">
        <v>35</v>
      </c>
      <c r="F66" s="10">
        <v>1.0</v>
      </c>
      <c r="G66" s="18"/>
      <c r="H66" s="11" t="s">
        <v>193</v>
      </c>
      <c r="I66" s="9"/>
      <c r="J66" s="41"/>
      <c r="K66" s="34" t="s">
        <v>194</v>
      </c>
      <c r="L66" s="14" t="s">
        <v>33</v>
      </c>
      <c r="M66" s="20" t="s">
        <v>103</v>
      </c>
      <c r="N66" s="15" t="s">
        <v>194</v>
      </c>
      <c r="O66" s="39" t="s">
        <v>194</v>
      </c>
      <c r="P66" s="4" t="s">
        <v>137</v>
      </c>
      <c r="Q66" s="4"/>
    </row>
    <row r="67">
      <c r="A67" s="7" t="s">
        <v>195</v>
      </c>
      <c r="B67" s="8">
        <v>2012.0</v>
      </c>
      <c r="C67" s="9" t="s">
        <v>18</v>
      </c>
      <c r="D67" s="9" t="s">
        <v>19</v>
      </c>
      <c r="E67" s="9" t="s">
        <v>20</v>
      </c>
      <c r="F67" s="10">
        <v>3.6</v>
      </c>
      <c r="G67" s="18"/>
      <c r="H67" s="11" t="s">
        <v>196</v>
      </c>
      <c r="I67" s="9"/>
      <c r="J67" s="41"/>
      <c r="K67" s="34" t="s">
        <v>197</v>
      </c>
      <c r="L67" s="14" t="s">
        <v>33</v>
      </c>
      <c r="M67" s="20" t="s">
        <v>103</v>
      </c>
      <c r="N67" s="15" t="s">
        <v>197</v>
      </c>
      <c r="O67" s="39" t="s">
        <v>197</v>
      </c>
      <c r="P67" s="4" t="s">
        <v>137</v>
      </c>
      <c r="Q67" s="4"/>
    </row>
    <row r="68">
      <c r="A68" s="7" t="s">
        <v>99</v>
      </c>
      <c r="B68" s="8">
        <v>2014.0</v>
      </c>
      <c r="C68" s="9" t="s">
        <v>31</v>
      </c>
      <c r="D68" s="9" t="s">
        <v>19</v>
      </c>
      <c r="E68" s="9" t="s">
        <v>35</v>
      </c>
      <c r="F68" s="10">
        <v>1.6</v>
      </c>
      <c r="G68" s="18"/>
      <c r="H68" s="11" t="s">
        <v>198</v>
      </c>
      <c r="I68" s="9"/>
      <c r="J68" s="41"/>
      <c r="K68" s="34" t="s">
        <v>199</v>
      </c>
      <c r="L68" s="14" t="s">
        <v>33</v>
      </c>
      <c r="M68" s="20" t="s">
        <v>103</v>
      </c>
      <c r="N68" s="15" t="s">
        <v>199</v>
      </c>
      <c r="O68" s="39" t="s">
        <v>199</v>
      </c>
      <c r="P68" s="4" t="s">
        <v>137</v>
      </c>
      <c r="Q68" s="4"/>
    </row>
    <row r="69">
      <c r="A69" s="7" t="s">
        <v>200</v>
      </c>
      <c r="B69" s="8">
        <v>2018.0</v>
      </c>
      <c r="C69" s="9" t="s">
        <v>42</v>
      </c>
      <c r="D69" s="9" t="s">
        <v>19</v>
      </c>
      <c r="E69" s="9" t="s">
        <v>35</v>
      </c>
      <c r="F69" s="10">
        <v>1.6</v>
      </c>
      <c r="G69" s="18"/>
      <c r="H69" s="11" t="s">
        <v>201</v>
      </c>
      <c r="I69" s="9"/>
      <c r="J69" s="41"/>
      <c r="K69" s="34" t="s">
        <v>202</v>
      </c>
      <c r="L69" s="14" t="s">
        <v>33</v>
      </c>
      <c r="M69" s="20" t="s">
        <v>103</v>
      </c>
      <c r="N69" s="15" t="s">
        <v>202</v>
      </c>
      <c r="O69" s="39" t="s">
        <v>202</v>
      </c>
      <c r="P69" s="4" t="s">
        <v>137</v>
      </c>
      <c r="Q69" s="4"/>
    </row>
    <row r="70">
      <c r="A70" s="7" t="s">
        <v>203</v>
      </c>
      <c r="B70" s="8">
        <v>2008.0</v>
      </c>
      <c r="C70" s="9" t="s">
        <v>42</v>
      </c>
      <c r="D70" s="9" t="s">
        <v>19</v>
      </c>
      <c r="E70" s="9" t="s">
        <v>35</v>
      </c>
      <c r="F70" s="10">
        <v>1.4</v>
      </c>
      <c r="G70" s="18"/>
      <c r="H70" s="11" t="s">
        <v>204</v>
      </c>
      <c r="I70" s="9"/>
      <c r="J70" s="41"/>
      <c r="K70" s="34" t="s">
        <v>205</v>
      </c>
      <c r="L70" s="14" t="s">
        <v>33</v>
      </c>
      <c r="M70" s="20" t="s">
        <v>103</v>
      </c>
      <c r="N70" s="15" t="s">
        <v>205</v>
      </c>
      <c r="O70" s="39" t="s">
        <v>205</v>
      </c>
      <c r="P70" s="4" t="s">
        <v>137</v>
      </c>
      <c r="Q70" s="4"/>
    </row>
    <row r="71">
      <c r="A71" s="7" t="s">
        <v>206</v>
      </c>
      <c r="B71" s="8">
        <v>2023.0</v>
      </c>
      <c r="C71" s="9" t="s">
        <v>28</v>
      </c>
      <c r="D71" s="9" t="s">
        <v>19</v>
      </c>
      <c r="E71" s="9" t="s">
        <v>20</v>
      </c>
      <c r="F71" s="10">
        <v>1.6</v>
      </c>
      <c r="G71" s="18"/>
      <c r="H71" s="11" t="s">
        <v>207</v>
      </c>
      <c r="I71" s="9"/>
      <c r="J71" s="41"/>
      <c r="K71" s="34" t="s">
        <v>208</v>
      </c>
      <c r="L71" s="14" t="s">
        <v>33</v>
      </c>
      <c r="M71" s="20" t="s">
        <v>103</v>
      </c>
      <c r="N71" s="15" t="s">
        <v>208</v>
      </c>
      <c r="O71" s="39" t="s">
        <v>208</v>
      </c>
      <c r="P71" s="4" t="s">
        <v>137</v>
      </c>
      <c r="Q71" s="4"/>
    </row>
    <row r="72">
      <c r="A72" s="7" t="s">
        <v>209</v>
      </c>
      <c r="B72" s="8">
        <v>2019.0</v>
      </c>
      <c r="C72" s="9" t="s">
        <v>28</v>
      </c>
      <c r="D72" s="9" t="s">
        <v>115</v>
      </c>
      <c r="E72" s="9" t="s">
        <v>35</v>
      </c>
      <c r="F72" s="10">
        <v>1.0</v>
      </c>
      <c r="G72" s="18"/>
      <c r="H72" s="11" t="s">
        <v>210</v>
      </c>
      <c r="I72" s="9"/>
      <c r="J72" s="41"/>
      <c r="K72" s="34" t="s">
        <v>164</v>
      </c>
      <c r="L72" s="14" t="s">
        <v>33</v>
      </c>
      <c r="M72" s="20" t="s">
        <v>103</v>
      </c>
      <c r="N72" s="15" t="s">
        <v>164</v>
      </c>
      <c r="O72" s="39" t="s">
        <v>164</v>
      </c>
      <c r="P72" s="4" t="s">
        <v>137</v>
      </c>
      <c r="Q72" s="4"/>
    </row>
    <row r="73">
      <c r="A73" s="7" t="s">
        <v>211</v>
      </c>
      <c r="B73" s="8">
        <v>2016.0</v>
      </c>
      <c r="C73" s="9" t="s">
        <v>28</v>
      </c>
      <c r="D73" s="9" t="s">
        <v>19</v>
      </c>
      <c r="E73" s="9" t="s">
        <v>20</v>
      </c>
      <c r="F73" s="10">
        <v>2.0</v>
      </c>
      <c r="G73" s="18"/>
      <c r="H73" s="11" t="s">
        <v>212</v>
      </c>
      <c r="I73" s="9"/>
      <c r="J73" s="41"/>
      <c r="K73" s="34" t="s">
        <v>213</v>
      </c>
      <c r="L73" s="14" t="s">
        <v>33</v>
      </c>
      <c r="M73" s="20" t="s">
        <v>103</v>
      </c>
      <c r="N73" s="15" t="s">
        <v>213</v>
      </c>
      <c r="O73" s="39" t="s">
        <v>213</v>
      </c>
      <c r="P73" s="4" t="s">
        <v>26</v>
      </c>
      <c r="Q73" s="4"/>
    </row>
    <row r="74">
      <c r="A74" s="7" t="s">
        <v>214</v>
      </c>
      <c r="B74" s="8">
        <v>2024.0</v>
      </c>
      <c r="C74" s="9" t="s">
        <v>51</v>
      </c>
      <c r="D74" s="9" t="s">
        <v>19</v>
      </c>
      <c r="E74" s="9" t="s">
        <v>20</v>
      </c>
      <c r="F74" s="10">
        <v>3.6</v>
      </c>
      <c r="G74" s="18"/>
      <c r="H74" s="11" t="s">
        <v>215</v>
      </c>
      <c r="I74" s="9"/>
      <c r="J74" s="41"/>
      <c r="K74" s="34" t="s">
        <v>216</v>
      </c>
      <c r="L74" s="14" t="s">
        <v>33</v>
      </c>
      <c r="M74" s="20" t="s">
        <v>103</v>
      </c>
      <c r="N74" s="15" t="s">
        <v>216</v>
      </c>
      <c r="O74" s="39" t="s">
        <v>216</v>
      </c>
      <c r="P74" s="4" t="s">
        <v>26</v>
      </c>
      <c r="Q74" s="4"/>
    </row>
    <row r="75">
      <c r="A75" s="7" t="s">
        <v>217</v>
      </c>
      <c r="B75" s="8">
        <v>2017.0</v>
      </c>
      <c r="C75" s="9" t="s">
        <v>31</v>
      </c>
      <c r="D75" s="9" t="s">
        <v>19</v>
      </c>
      <c r="E75" s="9" t="s">
        <v>20</v>
      </c>
      <c r="F75" s="10">
        <v>2.0</v>
      </c>
      <c r="G75" s="18"/>
      <c r="H75" s="11" t="s">
        <v>218</v>
      </c>
      <c r="I75" s="9"/>
      <c r="J75" s="41"/>
      <c r="K75" s="34" t="s">
        <v>219</v>
      </c>
      <c r="L75" s="14" t="s">
        <v>33</v>
      </c>
      <c r="M75" s="20" t="s">
        <v>103</v>
      </c>
      <c r="N75" s="15" t="s">
        <v>219</v>
      </c>
      <c r="O75" s="39" t="s">
        <v>219</v>
      </c>
      <c r="P75" s="4" t="s">
        <v>26</v>
      </c>
      <c r="Q75" s="4"/>
    </row>
    <row r="76">
      <c r="A76" s="7" t="s">
        <v>220</v>
      </c>
      <c r="B76" s="8">
        <v>2018.0</v>
      </c>
      <c r="C76" s="9" t="s">
        <v>51</v>
      </c>
      <c r="D76" s="9" t="s">
        <v>19</v>
      </c>
      <c r="E76" s="9" t="s">
        <v>20</v>
      </c>
      <c r="F76" s="10">
        <v>1.6</v>
      </c>
      <c r="G76" s="18"/>
      <c r="H76" s="11" t="s">
        <v>221</v>
      </c>
      <c r="I76" s="9"/>
      <c r="J76" s="41"/>
      <c r="K76" s="34" t="s">
        <v>183</v>
      </c>
      <c r="L76" s="14" t="s">
        <v>33</v>
      </c>
      <c r="M76" s="20" t="s">
        <v>103</v>
      </c>
      <c r="N76" s="15" t="s">
        <v>183</v>
      </c>
      <c r="O76" s="39" t="s">
        <v>183</v>
      </c>
      <c r="P76" s="4" t="s">
        <v>26</v>
      </c>
      <c r="Q76" s="4"/>
    </row>
    <row r="77">
      <c r="A77" s="7" t="s">
        <v>222</v>
      </c>
      <c r="B77" s="8">
        <v>2018.0</v>
      </c>
      <c r="C77" s="9" t="s">
        <v>31</v>
      </c>
      <c r="D77" s="9" t="s">
        <v>19</v>
      </c>
      <c r="E77" s="9" t="s">
        <v>20</v>
      </c>
      <c r="F77" s="10">
        <v>2.5</v>
      </c>
      <c r="G77" s="18"/>
      <c r="H77" s="11" t="s">
        <v>158</v>
      </c>
      <c r="I77" s="9"/>
      <c r="J77" s="41"/>
      <c r="K77" s="34" t="s">
        <v>156</v>
      </c>
      <c r="L77" s="14" t="s">
        <v>33</v>
      </c>
      <c r="M77" s="20" t="s">
        <v>103</v>
      </c>
      <c r="N77" s="15" t="s">
        <v>156</v>
      </c>
      <c r="O77" s="39" t="s">
        <v>156</v>
      </c>
      <c r="P77" s="4" t="s">
        <v>26</v>
      </c>
      <c r="Q77" s="4"/>
    </row>
    <row r="78">
      <c r="A78" s="7" t="s">
        <v>223</v>
      </c>
      <c r="B78" s="8">
        <v>2013.0</v>
      </c>
      <c r="C78" s="9" t="s">
        <v>31</v>
      </c>
      <c r="D78" s="9" t="s">
        <v>224</v>
      </c>
      <c r="E78" s="9" t="s">
        <v>20</v>
      </c>
      <c r="F78" s="10">
        <v>2.5</v>
      </c>
      <c r="G78" s="11">
        <v>120000.0</v>
      </c>
      <c r="H78" s="11" t="s">
        <v>225</v>
      </c>
      <c r="I78" s="12">
        <v>46258.0</v>
      </c>
      <c r="J78" s="12">
        <v>46111.0</v>
      </c>
      <c r="K78" s="34">
        <v>4.29E7</v>
      </c>
      <c r="L78" s="14" t="s">
        <v>33</v>
      </c>
      <c r="M78" s="20" t="s">
        <v>226</v>
      </c>
      <c r="N78" s="15">
        <v>4.29E7</v>
      </c>
      <c r="O78" s="15">
        <f t="shared" ref="O78:O163" si="3">(K78-2000000)</f>
        <v>40900000</v>
      </c>
      <c r="P78" s="4" t="s">
        <v>26</v>
      </c>
      <c r="Q78" s="4"/>
    </row>
    <row r="79">
      <c r="A79" s="7" t="s">
        <v>227</v>
      </c>
      <c r="B79" s="8">
        <v>2022.0</v>
      </c>
      <c r="C79" s="9" t="s">
        <v>51</v>
      </c>
      <c r="D79" s="9" t="s">
        <v>19</v>
      </c>
      <c r="E79" s="9" t="s">
        <v>35</v>
      </c>
      <c r="F79" s="10">
        <v>1.5</v>
      </c>
      <c r="G79" s="11">
        <v>76000.0</v>
      </c>
      <c r="H79" s="11" t="s">
        <v>228</v>
      </c>
      <c r="I79" s="12">
        <v>46155.0</v>
      </c>
      <c r="J79" s="12" t="s">
        <v>229</v>
      </c>
      <c r="K79" s="34">
        <v>4.19E7</v>
      </c>
      <c r="L79" s="14" t="s">
        <v>24</v>
      </c>
      <c r="M79" s="20" t="s">
        <v>226</v>
      </c>
      <c r="N79" s="15">
        <v>4.19E7</v>
      </c>
      <c r="O79" s="15">
        <f t="shared" si="3"/>
        <v>39900000</v>
      </c>
      <c r="P79" s="4" t="s">
        <v>26</v>
      </c>
      <c r="Q79" s="4"/>
    </row>
    <row r="80">
      <c r="A80" s="7" t="s">
        <v>211</v>
      </c>
      <c r="B80" s="8">
        <v>2014.0</v>
      </c>
      <c r="C80" s="9" t="s">
        <v>28</v>
      </c>
      <c r="D80" s="9" t="s">
        <v>19</v>
      </c>
      <c r="E80" s="9" t="s">
        <v>20</v>
      </c>
      <c r="F80" s="10">
        <v>1.4</v>
      </c>
      <c r="G80" s="11">
        <v>99000.0</v>
      </c>
      <c r="H80" s="18"/>
      <c r="I80" s="12">
        <v>46169.0</v>
      </c>
      <c r="J80" s="12">
        <v>46180.0</v>
      </c>
      <c r="K80" s="34">
        <v>4.79E7</v>
      </c>
      <c r="L80" s="14" t="s">
        <v>33</v>
      </c>
      <c r="M80" s="20" t="s">
        <v>226</v>
      </c>
      <c r="N80" s="15">
        <v>4.79E7</v>
      </c>
      <c r="O80" s="15">
        <f t="shared" si="3"/>
        <v>45900000</v>
      </c>
      <c r="P80" s="4" t="s">
        <v>26</v>
      </c>
      <c r="Q80" s="4"/>
    </row>
    <row r="81">
      <c r="A81" s="7" t="s">
        <v>230</v>
      </c>
      <c r="B81" s="8">
        <v>2022.0</v>
      </c>
      <c r="C81" s="9" t="s">
        <v>18</v>
      </c>
      <c r="D81" s="9" t="s">
        <v>19</v>
      </c>
      <c r="E81" s="9" t="s">
        <v>20</v>
      </c>
      <c r="F81" s="10">
        <v>2.0</v>
      </c>
      <c r="G81" s="11">
        <v>42000.0</v>
      </c>
      <c r="H81" s="11" t="s">
        <v>231</v>
      </c>
      <c r="I81" s="12">
        <v>46063.0</v>
      </c>
      <c r="J81" s="12">
        <v>46386.0</v>
      </c>
      <c r="K81" s="34">
        <v>7.29E7</v>
      </c>
      <c r="L81" s="14" t="s">
        <v>33</v>
      </c>
      <c r="M81" s="20" t="s">
        <v>226</v>
      </c>
      <c r="N81" s="15">
        <v>7.29E7</v>
      </c>
      <c r="O81" s="15">
        <f t="shared" si="3"/>
        <v>70900000</v>
      </c>
      <c r="P81" s="4" t="s">
        <v>26</v>
      </c>
      <c r="Q81" s="4"/>
    </row>
    <row r="82">
      <c r="A82" s="7" t="s">
        <v>232</v>
      </c>
      <c r="B82" s="8">
        <v>2023.0</v>
      </c>
      <c r="C82" s="9" t="s">
        <v>18</v>
      </c>
      <c r="D82" s="9" t="s">
        <v>19</v>
      </c>
      <c r="E82" s="9" t="s">
        <v>20</v>
      </c>
      <c r="F82" s="10">
        <v>1.5</v>
      </c>
      <c r="G82" s="11">
        <v>43000.0</v>
      </c>
      <c r="H82" s="11" t="s">
        <v>233</v>
      </c>
      <c r="I82" s="12">
        <v>46245.0</v>
      </c>
      <c r="J82" s="12" t="s">
        <v>229</v>
      </c>
      <c r="K82" s="34">
        <v>8.39E7</v>
      </c>
      <c r="L82" s="14" t="s">
        <v>33</v>
      </c>
      <c r="M82" s="20" t="s">
        <v>226</v>
      </c>
      <c r="N82" s="15">
        <v>8.39E7</v>
      </c>
      <c r="O82" s="15">
        <f t="shared" si="3"/>
        <v>81900000</v>
      </c>
      <c r="P82" s="4" t="s">
        <v>26</v>
      </c>
      <c r="Q82" s="4"/>
    </row>
    <row r="83">
      <c r="A83" s="7" t="s">
        <v>234</v>
      </c>
      <c r="B83" s="8">
        <v>2022.0</v>
      </c>
      <c r="C83" s="9" t="s">
        <v>28</v>
      </c>
      <c r="D83" s="9" t="s">
        <v>19</v>
      </c>
      <c r="E83" s="9" t="s">
        <v>20</v>
      </c>
      <c r="F83" s="10">
        <v>2.0</v>
      </c>
      <c r="G83" s="11">
        <v>30000.0</v>
      </c>
      <c r="H83" s="11" t="s">
        <v>235</v>
      </c>
      <c r="I83" s="12">
        <v>46354.0</v>
      </c>
      <c r="J83" s="12">
        <v>46290.0</v>
      </c>
      <c r="K83" s="34">
        <v>1.999E8</v>
      </c>
      <c r="L83" s="14" t="s">
        <v>33</v>
      </c>
      <c r="M83" s="20" t="s">
        <v>226</v>
      </c>
      <c r="N83" s="15">
        <v>1.999E8</v>
      </c>
      <c r="O83" s="15">
        <f t="shared" si="3"/>
        <v>197900000</v>
      </c>
      <c r="P83" s="4" t="s">
        <v>26</v>
      </c>
      <c r="Q83" s="4"/>
    </row>
    <row r="84">
      <c r="A84" s="7" t="s">
        <v>236</v>
      </c>
      <c r="B84" s="8">
        <v>2011.0</v>
      </c>
      <c r="C84" s="18" t="s">
        <v>51</v>
      </c>
      <c r="D84" s="9" t="s">
        <v>19</v>
      </c>
      <c r="E84" s="9" t="s">
        <v>20</v>
      </c>
      <c r="F84" s="10">
        <v>3.5</v>
      </c>
      <c r="G84" s="11">
        <v>200000.0</v>
      </c>
      <c r="H84" s="11" t="s">
        <v>237</v>
      </c>
      <c r="I84" s="12">
        <v>46371.0</v>
      </c>
      <c r="J84" s="12">
        <v>46372.0</v>
      </c>
      <c r="K84" s="34">
        <v>9.49E7</v>
      </c>
      <c r="L84" s="14" t="s">
        <v>33</v>
      </c>
      <c r="M84" s="20" t="s">
        <v>226</v>
      </c>
      <c r="N84" s="15">
        <v>9.49E7</v>
      </c>
      <c r="O84" s="15">
        <f t="shared" si="3"/>
        <v>92900000</v>
      </c>
      <c r="P84" s="4" t="s">
        <v>26</v>
      </c>
      <c r="Q84" s="4"/>
    </row>
    <row r="85">
      <c r="A85" s="7" t="s">
        <v>238</v>
      </c>
      <c r="B85" s="8">
        <v>2013.0</v>
      </c>
      <c r="C85" s="18" t="s">
        <v>28</v>
      </c>
      <c r="D85" s="9" t="s">
        <v>19</v>
      </c>
      <c r="E85" s="9" t="s">
        <v>20</v>
      </c>
      <c r="F85" s="10">
        <v>1.6</v>
      </c>
      <c r="G85" s="11">
        <v>126100.0</v>
      </c>
      <c r="H85" s="11" t="s">
        <v>239</v>
      </c>
      <c r="I85" s="12">
        <v>46140.0</v>
      </c>
      <c r="J85" s="12">
        <v>46367.0</v>
      </c>
      <c r="K85" s="34">
        <v>5.68E7</v>
      </c>
      <c r="L85" s="14" t="s">
        <v>33</v>
      </c>
      <c r="M85" s="20" t="s">
        <v>226</v>
      </c>
      <c r="N85" s="15">
        <v>5.68E7</v>
      </c>
      <c r="O85" s="15">
        <f t="shared" si="3"/>
        <v>54800000</v>
      </c>
      <c r="P85" s="4" t="s">
        <v>26</v>
      </c>
      <c r="Q85" s="4"/>
    </row>
    <row r="86">
      <c r="A86" s="7" t="s">
        <v>240</v>
      </c>
      <c r="B86" s="8">
        <v>2015.0</v>
      </c>
      <c r="C86" s="18" t="s">
        <v>51</v>
      </c>
      <c r="D86" s="9" t="s">
        <v>19</v>
      </c>
      <c r="E86" s="9" t="s">
        <v>20</v>
      </c>
      <c r="F86" s="10">
        <v>3.4</v>
      </c>
      <c r="G86" s="11">
        <v>143000.0</v>
      </c>
      <c r="H86" s="11" t="s">
        <v>241</v>
      </c>
      <c r="I86" s="12">
        <v>46032.0</v>
      </c>
      <c r="J86" s="12">
        <v>46119.0</v>
      </c>
      <c r="K86" s="34">
        <v>1.65E8</v>
      </c>
      <c r="L86" s="14" t="s">
        <v>46</v>
      </c>
      <c r="M86" s="20" t="s">
        <v>226</v>
      </c>
      <c r="N86" s="15">
        <v>1.65E8</v>
      </c>
      <c r="O86" s="15">
        <f t="shared" si="3"/>
        <v>163000000</v>
      </c>
      <c r="P86" s="4" t="s">
        <v>26</v>
      </c>
      <c r="Q86" s="4"/>
    </row>
    <row r="87">
      <c r="A87" s="7" t="s">
        <v>242</v>
      </c>
      <c r="B87" s="8">
        <v>2014.0</v>
      </c>
      <c r="C87" s="18" t="s">
        <v>28</v>
      </c>
      <c r="D87" s="9" t="s">
        <v>19</v>
      </c>
      <c r="E87" s="9" t="s">
        <v>20</v>
      </c>
      <c r="F87" s="10">
        <v>1.8</v>
      </c>
      <c r="G87" s="11">
        <v>115000.0</v>
      </c>
      <c r="H87" s="11" t="s">
        <v>243</v>
      </c>
      <c r="I87" s="12">
        <v>46143.0</v>
      </c>
      <c r="J87" s="12">
        <v>46144.0</v>
      </c>
      <c r="K87" s="34">
        <v>5.69E7</v>
      </c>
      <c r="L87" s="14" t="s">
        <v>33</v>
      </c>
      <c r="M87" s="20" t="s">
        <v>226</v>
      </c>
      <c r="N87" s="15">
        <v>5.69E7</v>
      </c>
      <c r="O87" s="15">
        <f t="shared" si="3"/>
        <v>54900000</v>
      </c>
      <c r="P87" s="4" t="s">
        <v>26</v>
      </c>
      <c r="Q87" s="4"/>
    </row>
    <row r="88">
      <c r="A88" s="7" t="s">
        <v>244</v>
      </c>
      <c r="B88" s="8">
        <v>2019.0</v>
      </c>
      <c r="C88" s="18" t="s">
        <v>56</v>
      </c>
      <c r="D88" s="9" t="s">
        <v>19</v>
      </c>
      <c r="E88" s="9" t="s">
        <v>20</v>
      </c>
      <c r="F88" s="10">
        <v>2.0</v>
      </c>
      <c r="G88" s="11">
        <v>247000.0</v>
      </c>
      <c r="H88" s="11" t="s">
        <v>245</v>
      </c>
      <c r="I88" s="12">
        <v>46194.0</v>
      </c>
      <c r="J88" s="12">
        <v>46200.0</v>
      </c>
      <c r="K88" s="34">
        <v>4.79E7</v>
      </c>
      <c r="L88" s="14" t="s">
        <v>33</v>
      </c>
      <c r="M88" s="20" t="s">
        <v>226</v>
      </c>
      <c r="N88" s="15">
        <v>4.79E7</v>
      </c>
      <c r="O88" s="15">
        <f t="shared" si="3"/>
        <v>45900000</v>
      </c>
      <c r="P88" s="4" t="s">
        <v>26</v>
      </c>
      <c r="Q88" s="4"/>
    </row>
    <row r="89">
      <c r="A89" s="7" t="s">
        <v>246</v>
      </c>
      <c r="B89" s="8">
        <v>2014.0</v>
      </c>
      <c r="C89" s="18" t="s">
        <v>51</v>
      </c>
      <c r="D89" s="9" t="s">
        <v>19</v>
      </c>
      <c r="E89" s="9" t="s">
        <v>20</v>
      </c>
      <c r="F89" s="10">
        <v>3.5</v>
      </c>
      <c r="G89" s="11">
        <v>172000.0</v>
      </c>
      <c r="H89" s="11" t="s">
        <v>247</v>
      </c>
      <c r="I89" s="12">
        <v>46319.0</v>
      </c>
      <c r="J89" s="12">
        <v>46173.0</v>
      </c>
      <c r="K89" s="34">
        <v>1.529E8</v>
      </c>
      <c r="L89" s="14" t="s">
        <v>33</v>
      </c>
      <c r="M89" s="20" t="s">
        <v>226</v>
      </c>
      <c r="N89" s="15">
        <v>1.529E8</v>
      </c>
      <c r="O89" s="15">
        <f t="shared" si="3"/>
        <v>150900000</v>
      </c>
      <c r="P89" s="4" t="s">
        <v>26</v>
      </c>
      <c r="Q89" s="4"/>
    </row>
    <row r="90">
      <c r="A90" s="7" t="s">
        <v>248</v>
      </c>
      <c r="B90" s="8">
        <v>2023.0</v>
      </c>
      <c r="C90" s="18" t="s">
        <v>28</v>
      </c>
      <c r="D90" s="9" t="s">
        <v>19</v>
      </c>
      <c r="E90" s="9" t="s">
        <v>35</v>
      </c>
      <c r="F90" s="10">
        <v>1.4</v>
      </c>
      <c r="G90" s="11">
        <v>82000.0</v>
      </c>
      <c r="H90" s="11" t="s">
        <v>249</v>
      </c>
      <c r="I90" s="12">
        <v>46012.0</v>
      </c>
      <c r="J90" s="12" t="s">
        <v>229</v>
      </c>
      <c r="K90" s="34">
        <v>5.29E7</v>
      </c>
      <c r="L90" s="14" t="s">
        <v>33</v>
      </c>
      <c r="M90" s="20" t="s">
        <v>226</v>
      </c>
      <c r="N90" s="15">
        <v>5.29E7</v>
      </c>
      <c r="O90" s="15">
        <f t="shared" si="3"/>
        <v>50900000</v>
      </c>
      <c r="P90" s="4" t="s">
        <v>26</v>
      </c>
      <c r="Q90" s="4"/>
    </row>
    <row r="91">
      <c r="A91" s="7" t="s">
        <v>250</v>
      </c>
      <c r="B91" s="8">
        <v>2022.0</v>
      </c>
      <c r="C91" s="18" t="s">
        <v>31</v>
      </c>
      <c r="D91" s="9" t="s">
        <v>19</v>
      </c>
      <c r="E91" s="9" t="s">
        <v>20</v>
      </c>
      <c r="F91" s="10">
        <v>1.6</v>
      </c>
      <c r="G91" s="11">
        <v>22000.0</v>
      </c>
      <c r="H91" s="11" t="s">
        <v>251</v>
      </c>
      <c r="I91" s="12">
        <v>46012.0</v>
      </c>
      <c r="J91" s="12" t="s">
        <v>252</v>
      </c>
      <c r="K91" s="34">
        <v>1.419E8</v>
      </c>
      <c r="L91" s="14" t="s">
        <v>33</v>
      </c>
      <c r="M91" s="20" t="s">
        <v>226</v>
      </c>
      <c r="N91" s="15">
        <v>1.419E8</v>
      </c>
      <c r="O91" s="15">
        <f t="shared" si="3"/>
        <v>139900000</v>
      </c>
      <c r="P91" s="4" t="s">
        <v>137</v>
      </c>
      <c r="Q91" s="4"/>
    </row>
    <row r="92">
      <c r="A92" s="7" t="s">
        <v>253</v>
      </c>
      <c r="B92" s="8">
        <v>2021.0</v>
      </c>
      <c r="C92" s="18" t="s">
        <v>18</v>
      </c>
      <c r="D92" s="9" t="s">
        <v>19</v>
      </c>
      <c r="E92" s="9" t="s">
        <v>20</v>
      </c>
      <c r="F92" s="10">
        <v>1.6</v>
      </c>
      <c r="G92" s="11">
        <v>30000.0</v>
      </c>
      <c r="H92" s="11" t="s">
        <v>254</v>
      </c>
      <c r="I92" s="12">
        <v>46061.0</v>
      </c>
      <c r="J92" s="12" t="s">
        <v>252</v>
      </c>
      <c r="K92" s="34">
        <v>2.879E8</v>
      </c>
      <c r="L92" s="14" t="s">
        <v>33</v>
      </c>
      <c r="M92" s="20" t="s">
        <v>226</v>
      </c>
      <c r="N92" s="15">
        <v>2.879E8</v>
      </c>
      <c r="O92" s="15">
        <f t="shared" si="3"/>
        <v>285900000</v>
      </c>
      <c r="P92" s="4" t="s">
        <v>137</v>
      </c>
      <c r="Q92" s="4"/>
    </row>
    <row r="93">
      <c r="A93" s="7" t="s">
        <v>255</v>
      </c>
      <c r="B93" s="9"/>
      <c r="C93" s="18" t="s">
        <v>31</v>
      </c>
      <c r="D93" s="9" t="s">
        <v>19</v>
      </c>
      <c r="E93" s="9" t="s">
        <v>20</v>
      </c>
      <c r="F93" s="10">
        <v>1.8</v>
      </c>
      <c r="G93" s="18"/>
      <c r="H93" s="11" t="s">
        <v>256</v>
      </c>
      <c r="I93" s="38"/>
      <c r="J93" s="38"/>
      <c r="K93" s="43"/>
      <c r="L93" s="14" t="s">
        <v>46</v>
      </c>
      <c r="M93" s="20" t="s">
        <v>226</v>
      </c>
      <c r="N93" s="44"/>
      <c r="O93" s="15">
        <f t="shared" si="3"/>
        <v>-2000000</v>
      </c>
      <c r="P93" s="4" t="s">
        <v>137</v>
      </c>
      <c r="Q93" s="4"/>
    </row>
    <row r="94">
      <c r="A94" s="7" t="s">
        <v>257</v>
      </c>
      <c r="B94" s="9"/>
      <c r="C94" s="18" t="s">
        <v>42</v>
      </c>
      <c r="D94" s="9" t="s">
        <v>19</v>
      </c>
      <c r="E94" s="9" t="s">
        <v>20</v>
      </c>
      <c r="F94" s="10">
        <v>1.6</v>
      </c>
      <c r="G94" s="18"/>
      <c r="H94" s="11" t="s">
        <v>258</v>
      </c>
      <c r="I94" s="38"/>
      <c r="J94" s="38"/>
      <c r="K94" s="43"/>
      <c r="L94" s="14" t="s">
        <v>46</v>
      </c>
      <c r="M94" s="20" t="s">
        <v>226</v>
      </c>
      <c r="N94" s="44"/>
      <c r="O94" s="15">
        <f t="shared" si="3"/>
        <v>-2000000</v>
      </c>
      <c r="P94" s="4" t="s">
        <v>137</v>
      </c>
      <c r="Q94" s="4"/>
    </row>
    <row r="95">
      <c r="A95" s="7" t="s">
        <v>259</v>
      </c>
      <c r="B95" s="9"/>
      <c r="C95" s="18" t="s">
        <v>42</v>
      </c>
      <c r="D95" s="9" t="s">
        <v>19</v>
      </c>
      <c r="E95" s="9" t="s">
        <v>35</v>
      </c>
      <c r="F95" s="10">
        <v>1.8</v>
      </c>
      <c r="G95" s="18"/>
      <c r="H95" s="11" t="s">
        <v>260</v>
      </c>
      <c r="I95" s="38"/>
      <c r="J95" s="38"/>
      <c r="K95" s="43"/>
      <c r="L95" s="14" t="s">
        <v>46</v>
      </c>
      <c r="M95" s="20" t="s">
        <v>226</v>
      </c>
      <c r="N95" s="44"/>
      <c r="O95" s="15">
        <f t="shared" si="3"/>
        <v>-2000000</v>
      </c>
      <c r="P95" s="4" t="s">
        <v>137</v>
      </c>
      <c r="Q95" s="4"/>
    </row>
    <row r="96">
      <c r="A96" s="7" t="s">
        <v>261</v>
      </c>
      <c r="B96" s="9"/>
      <c r="C96" s="18" t="s">
        <v>28</v>
      </c>
      <c r="D96" s="9" t="s">
        <v>115</v>
      </c>
      <c r="E96" s="9" t="s">
        <v>20</v>
      </c>
      <c r="F96" s="10">
        <v>1.6</v>
      </c>
      <c r="G96" s="18"/>
      <c r="H96" s="11" t="s">
        <v>262</v>
      </c>
      <c r="I96" s="38"/>
      <c r="J96" s="38"/>
      <c r="K96" s="43"/>
      <c r="L96" s="14" t="s">
        <v>46</v>
      </c>
      <c r="M96" s="20" t="s">
        <v>263</v>
      </c>
      <c r="N96" s="44"/>
      <c r="O96" s="15">
        <f t="shared" si="3"/>
        <v>-2000000</v>
      </c>
      <c r="P96" s="4" t="s">
        <v>137</v>
      </c>
      <c r="Q96" s="4"/>
    </row>
    <row r="97">
      <c r="A97" s="7" t="s">
        <v>264</v>
      </c>
      <c r="B97" s="8">
        <v>2021.0</v>
      </c>
      <c r="C97" s="9" t="s">
        <v>28</v>
      </c>
      <c r="D97" s="9" t="s">
        <v>19</v>
      </c>
      <c r="E97" s="9" t="s">
        <v>20</v>
      </c>
      <c r="F97" s="10">
        <v>1.3</v>
      </c>
      <c r="G97" s="11">
        <v>58000.0</v>
      </c>
      <c r="H97" s="11" t="s">
        <v>265</v>
      </c>
      <c r="I97" s="12">
        <v>45917.0</v>
      </c>
      <c r="J97" s="12" t="s">
        <v>252</v>
      </c>
      <c r="K97" s="34">
        <v>6.6E7</v>
      </c>
      <c r="L97" s="14" t="s">
        <v>33</v>
      </c>
      <c r="M97" s="20" t="s">
        <v>263</v>
      </c>
      <c r="N97" s="44"/>
      <c r="O97" s="15">
        <f t="shared" si="3"/>
        <v>64000000</v>
      </c>
      <c r="P97" s="4" t="s">
        <v>137</v>
      </c>
      <c r="Q97" s="4"/>
    </row>
    <row r="98">
      <c r="A98" s="7" t="s">
        <v>266</v>
      </c>
      <c r="B98" s="8">
        <v>2020.0</v>
      </c>
      <c r="C98" s="9" t="s">
        <v>28</v>
      </c>
      <c r="D98" s="9" t="s">
        <v>19</v>
      </c>
      <c r="E98" s="9" t="s">
        <v>20</v>
      </c>
      <c r="F98" s="10">
        <v>3.5</v>
      </c>
      <c r="G98" s="11">
        <v>39000.0</v>
      </c>
      <c r="H98" s="11" t="s">
        <v>267</v>
      </c>
      <c r="I98" s="12">
        <v>45936.0</v>
      </c>
      <c r="J98" s="38"/>
      <c r="K98" s="34">
        <v>8.7E7</v>
      </c>
      <c r="L98" s="14" t="s">
        <v>33</v>
      </c>
      <c r="M98" s="20" t="s">
        <v>263</v>
      </c>
      <c r="N98" s="44"/>
      <c r="O98" s="15">
        <f t="shared" si="3"/>
        <v>85000000</v>
      </c>
      <c r="P98" s="4" t="s">
        <v>137</v>
      </c>
      <c r="Q98" s="4"/>
    </row>
    <row r="99">
      <c r="A99" s="7" t="s">
        <v>268</v>
      </c>
      <c r="B99" s="8">
        <v>2018.0</v>
      </c>
      <c r="C99" s="9" t="s">
        <v>51</v>
      </c>
      <c r="D99" s="9" t="s">
        <v>269</v>
      </c>
      <c r="E99" s="9" t="s">
        <v>20</v>
      </c>
      <c r="F99" s="10">
        <v>0.0</v>
      </c>
      <c r="G99" s="11">
        <v>61400.0</v>
      </c>
      <c r="H99" s="11" t="s">
        <v>270</v>
      </c>
      <c r="I99" s="12" t="s">
        <v>271</v>
      </c>
      <c r="J99" s="12" t="s">
        <v>272</v>
      </c>
      <c r="K99" s="34">
        <v>6.59E7</v>
      </c>
      <c r="L99" s="14" t="s">
        <v>33</v>
      </c>
      <c r="M99" s="20" t="s">
        <v>263</v>
      </c>
      <c r="N99" s="44"/>
      <c r="O99" s="15">
        <f t="shared" si="3"/>
        <v>63900000</v>
      </c>
      <c r="P99" s="4" t="s">
        <v>137</v>
      </c>
      <c r="Q99" s="4"/>
    </row>
    <row r="100">
      <c r="A100" s="7" t="s">
        <v>273</v>
      </c>
      <c r="B100" s="8">
        <v>2014.0</v>
      </c>
      <c r="C100" s="9" t="s">
        <v>31</v>
      </c>
      <c r="D100" s="9" t="s">
        <v>115</v>
      </c>
      <c r="E100" s="9" t="s">
        <v>20</v>
      </c>
      <c r="F100" s="10">
        <v>3.3</v>
      </c>
      <c r="G100" s="11">
        <v>70000.0</v>
      </c>
      <c r="H100" s="11" t="s">
        <v>274</v>
      </c>
      <c r="I100" s="12">
        <v>46045.0</v>
      </c>
      <c r="J100" s="12" t="s">
        <v>275</v>
      </c>
      <c r="K100" s="34">
        <v>5.4E7</v>
      </c>
      <c r="L100" s="14" t="s">
        <v>33</v>
      </c>
      <c r="M100" s="20" t="s">
        <v>263</v>
      </c>
      <c r="N100" s="44"/>
      <c r="O100" s="15">
        <f t="shared" si="3"/>
        <v>52000000</v>
      </c>
      <c r="P100" s="4" t="s">
        <v>137</v>
      </c>
      <c r="Q100" s="4"/>
    </row>
    <row r="101">
      <c r="A101" s="7" t="s">
        <v>276</v>
      </c>
      <c r="B101" s="8">
        <v>2023.0</v>
      </c>
      <c r="C101" s="9" t="s">
        <v>51</v>
      </c>
      <c r="D101" s="9" t="s">
        <v>19</v>
      </c>
      <c r="E101" s="9" t="s">
        <v>20</v>
      </c>
      <c r="F101" s="10">
        <v>2.0</v>
      </c>
      <c r="G101" s="11">
        <v>46500.0</v>
      </c>
      <c r="H101" s="11" t="s">
        <v>277</v>
      </c>
      <c r="I101" s="38"/>
      <c r="J101" s="12" t="s">
        <v>278</v>
      </c>
      <c r="K101" s="34">
        <v>1.18E8</v>
      </c>
      <c r="L101" s="14" t="s">
        <v>33</v>
      </c>
      <c r="M101" s="20" t="s">
        <v>263</v>
      </c>
      <c r="N101" s="44"/>
      <c r="O101" s="15">
        <f t="shared" si="3"/>
        <v>116000000</v>
      </c>
      <c r="P101" s="4" t="s">
        <v>137</v>
      </c>
      <c r="Q101" s="4"/>
    </row>
    <row r="102">
      <c r="A102" s="7" t="s">
        <v>279</v>
      </c>
      <c r="B102" s="8">
        <v>2020.0</v>
      </c>
      <c r="C102" s="9" t="s">
        <v>31</v>
      </c>
      <c r="D102" s="9" t="s">
        <v>19</v>
      </c>
      <c r="E102" s="9" t="s">
        <v>20</v>
      </c>
      <c r="F102" s="10">
        <v>1.6</v>
      </c>
      <c r="G102" s="11">
        <v>46900.0</v>
      </c>
      <c r="H102" s="11" t="s">
        <v>280</v>
      </c>
      <c r="I102" s="12">
        <v>46210.0</v>
      </c>
      <c r="J102" s="12">
        <v>46079.0</v>
      </c>
      <c r="K102" s="34">
        <v>7.7E7</v>
      </c>
      <c r="L102" s="14" t="s">
        <v>33</v>
      </c>
      <c r="M102" s="20" t="s">
        <v>263</v>
      </c>
      <c r="N102" s="44"/>
      <c r="O102" s="15">
        <f t="shared" si="3"/>
        <v>75000000</v>
      </c>
      <c r="P102" s="4" t="s">
        <v>137</v>
      </c>
      <c r="Q102" s="4"/>
    </row>
    <row r="103">
      <c r="A103" s="7" t="s">
        <v>281</v>
      </c>
      <c r="B103" s="8">
        <v>2014.0</v>
      </c>
      <c r="C103" s="9" t="s">
        <v>31</v>
      </c>
      <c r="D103" s="9" t="s">
        <v>224</v>
      </c>
      <c r="E103" s="9" t="s">
        <v>20</v>
      </c>
      <c r="F103" s="10">
        <v>2.2</v>
      </c>
      <c r="G103" s="11">
        <v>118000.0</v>
      </c>
      <c r="H103" s="11" t="s">
        <v>282</v>
      </c>
      <c r="I103" s="38"/>
      <c r="J103" s="38"/>
      <c r="K103" s="34">
        <v>6.6E7</v>
      </c>
      <c r="L103" s="14" t="s">
        <v>33</v>
      </c>
      <c r="M103" s="20" t="s">
        <v>263</v>
      </c>
      <c r="N103" s="44"/>
      <c r="O103" s="15">
        <f t="shared" si="3"/>
        <v>64000000</v>
      </c>
      <c r="P103" s="4" t="s">
        <v>137</v>
      </c>
      <c r="Q103" s="4"/>
    </row>
    <row r="104">
      <c r="A104" s="7" t="s">
        <v>283</v>
      </c>
      <c r="B104" s="8">
        <v>2015.0</v>
      </c>
      <c r="C104" s="9" t="s">
        <v>51</v>
      </c>
      <c r="D104" s="9" t="s">
        <v>19</v>
      </c>
      <c r="E104" s="9" t="s">
        <v>20</v>
      </c>
      <c r="F104" s="10">
        <v>2.0</v>
      </c>
      <c r="G104" s="11">
        <v>162400.0</v>
      </c>
      <c r="H104" s="11" t="s">
        <v>284</v>
      </c>
      <c r="I104" s="12">
        <v>46320.0</v>
      </c>
      <c r="J104" s="12" t="s">
        <v>285</v>
      </c>
      <c r="K104" s="34">
        <v>6.99E7</v>
      </c>
      <c r="L104" s="14" t="s">
        <v>33</v>
      </c>
      <c r="M104" s="20" t="s">
        <v>263</v>
      </c>
      <c r="N104" s="44"/>
      <c r="O104" s="15">
        <f t="shared" si="3"/>
        <v>67900000</v>
      </c>
      <c r="P104" s="4" t="s">
        <v>137</v>
      </c>
      <c r="Q104" s="4"/>
    </row>
    <row r="105">
      <c r="A105" s="7" t="s">
        <v>286</v>
      </c>
      <c r="B105" s="8">
        <v>2017.0</v>
      </c>
      <c r="C105" s="9" t="s">
        <v>28</v>
      </c>
      <c r="D105" s="9" t="s">
        <v>19</v>
      </c>
      <c r="E105" s="9" t="s">
        <v>20</v>
      </c>
      <c r="F105" s="10">
        <v>2.4</v>
      </c>
      <c r="G105" s="11">
        <v>86000.0</v>
      </c>
      <c r="H105" s="11" t="s">
        <v>287</v>
      </c>
      <c r="I105" s="12">
        <v>46149.0</v>
      </c>
      <c r="J105" s="12">
        <v>46149.0</v>
      </c>
      <c r="K105" s="34">
        <v>3.7E7</v>
      </c>
      <c r="L105" s="14" t="s">
        <v>33</v>
      </c>
      <c r="M105" s="20" t="s">
        <v>288</v>
      </c>
      <c r="N105" s="44"/>
      <c r="O105" s="15">
        <f t="shared" si="3"/>
        <v>35000000</v>
      </c>
      <c r="P105" s="4" t="s">
        <v>137</v>
      </c>
      <c r="Q105" s="4"/>
    </row>
    <row r="106">
      <c r="A106" s="7" t="s">
        <v>289</v>
      </c>
      <c r="B106" s="8">
        <v>2016.0</v>
      </c>
      <c r="C106" s="9" t="s">
        <v>18</v>
      </c>
      <c r="D106" s="9" t="s">
        <v>19</v>
      </c>
      <c r="E106" s="9" t="s">
        <v>20</v>
      </c>
      <c r="F106" s="10">
        <v>1.6</v>
      </c>
      <c r="G106" s="11">
        <v>35000.0</v>
      </c>
      <c r="H106" s="11">
        <v>9.0</v>
      </c>
      <c r="I106" s="12">
        <v>46296.0</v>
      </c>
      <c r="J106" s="12">
        <v>46296.0</v>
      </c>
      <c r="K106" s="34">
        <v>5.299E7</v>
      </c>
      <c r="L106" s="14" t="s">
        <v>33</v>
      </c>
      <c r="M106" s="20" t="s">
        <v>288</v>
      </c>
      <c r="N106" s="44"/>
      <c r="O106" s="15">
        <f t="shared" si="3"/>
        <v>50990000</v>
      </c>
      <c r="P106" s="4" t="s">
        <v>137</v>
      </c>
      <c r="Q106" s="4"/>
    </row>
    <row r="107">
      <c r="A107" s="7" t="s">
        <v>290</v>
      </c>
      <c r="B107" s="8">
        <v>2023.0</v>
      </c>
      <c r="C107" s="9" t="s">
        <v>18</v>
      </c>
      <c r="D107" s="9" t="s">
        <v>19</v>
      </c>
      <c r="E107" s="9" t="s">
        <v>20</v>
      </c>
      <c r="F107" s="10">
        <v>2.0</v>
      </c>
      <c r="G107" s="11">
        <v>34500.0</v>
      </c>
      <c r="H107" s="11">
        <v>7.0</v>
      </c>
      <c r="I107" s="12">
        <v>46266.0</v>
      </c>
      <c r="J107" s="8" t="s">
        <v>37</v>
      </c>
      <c r="K107" s="34">
        <v>7.399E7</v>
      </c>
      <c r="L107" s="14" t="s">
        <v>33</v>
      </c>
      <c r="M107" s="20" t="s">
        <v>288</v>
      </c>
      <c r="N107" s="44"/>
      <c r="O107" s="15">
        <f t="shared" si="3"/>
        <v>71990000</v>
      </c>
      <c r="P107" s="4" t="s">
        <v>137</v>
      </c>
      <c r="Q107" s="4"/>
    </row>
    <row r="108">
      <c r="A108" s="7" t="s">
        <v>291</v>
      </c>
      <c r="B108" s="8">
        <v>2026.0</v>
      </c>
      <c r="C108" s="9" t="s">
        <v>28</v>
      </c>
      <c r="D108" s="9" t="s">
        <v>19</v>
      </c>
      <c r="E108" s="9" t="s">
        <v>20</v>
      </c>
      <c r="F108" s="10">
        <v>2.0</v>
      </c>
      <c r="G108" s="18"/>
      <c r="H108" s="18"/>
      <c r="I108" s="38"/>
      <c r="J108" s="38"/>
      <c r="K108" s="34">
        <v>1.3299E8</v>
      </c>
      <c r="L108" s="14" t="s">
        <v>33</v>
      </c>
      <c r="M108" s="20" t="s">
        <v>288</v>
      </c>
      <c r="N108" s="44"/>
      <c r="O108" s="15">
        <f t="shared" si="3"/>
        <v>130990000</v>
      </c>
      <c r="P108" s="4" t="s">
        <v>137</v>
      </c>
      <c r="Q108" s="4"/>
    </row>
    <row r="109">
      <c r="A109" s="7" t="s">
        <v>292</v>
      </c>
      <c r="B109" s="8">
        <v>2023.0</v>
      </c>
      <c r="C109" s="9" t="s">
        <v>51</v>
      </c>
      <c r="D109" s="9" t="s">
        <v>19</v>
      </c>
      <c r="E109" s="9" t="s">
        <v>20</v>
      </c>
      <c r="F109" s="10">
        <v>1.6</v>
      </c>
      <c r="G109" s="11">
        <v>47500.0</v>
      </c>
      <c r="H109" s="11">
        <v>0.0</v>
      </c>
      <c r="I109" s="12">
        <v>46296.0</v>
      </c>
      <c r="J109" s="8" t="s">
        <v>37</v>
      </c>
      <c r="K109" s="34">
        <v>7.799E7</v>
      </c>
      <c r="L109" s="14" t="s">
        <v>33</v>
      </c>
      <c r="M109" s="20" t="s">
        <v>288</v>
      </c>
      <c r="N109" s="44"/>
      <c r="O109" s="15">
        <f t="shared" si="3"/>
        <v>75990000</v>
      </c>
      <c r="P109" s="4" t="s">
        <v>137</v>
      </c>
      <c r="Q109" s="4"/>
    </row>
    <row r="110">
      <c r="A110" s="7" t="s">
        <v>293</v>
      </c>
      <c r="B110" s="8">
        <v>2019.0</v>
      </c>
      <c r="C110" s="9" t="s">
        <v>28</v>
      </c>
      <c r="D110" s="9" t="s">
        <v>19</v>
      </c>
      <c r="E110" s="9" t="s">
        <v>20</v>
      </c>
      <c r="F110" s="10">
        <v>1.6</v>
      </c>
      <c r="G110" s="11">
        <v>62700.0</v>
      </c>
      <c r="H110" s="11">
        <v>1.0</v>
      </c>
      <c r="I110" s="12">
        <v>46235.0</v>
      </c>
      <c r="J110" s="12">
        <v>46296.0</v>
      </c>
      <c r="K110" s="34">
        <v>9.999E7</v>
      </c>
      <c r="L110" s="14" t="s">
        <v>33</v>
      </c>
      <c r="M110" s="20" t="s">
        <v>288</v>
      </c>
      <c r="N110" s="44"/>
      <c r="O110" s="15">
        <f t="shared" si="3"/>
        <v>97990000</v>
      </c>
      <c r="P110" s="4" t="s">
        <v>137</v>
      </c>
      <c r="Q110" s="4"/>
    </row>
    <row r="111">
      <c r="A111" s="7" t="s">
        <v>294</v>
      </c>
      <c r="B111" s="8">
        <v>2025.0</v>
      </c>
      <c r="C111" s="9" t="s">
        <v>51</v>
      </c>
      <c r="D111" s="9" t="s">
        <v>19</v>
      </c>
      <c r="E111" s="9" t="s">
        <v>20</v>
      </c>
      <c r="F111" s="10">
        <v>3.0</v>
      </c>
      <c r="G111" s="11">
        <v>16000.0</v>
      </c>
      <c r="H111" s="18"/>
      <c r="I111" s="12">
        <v>46235.0</v>
      </c>
      <c r="J111" s="38"/>
      <c r="K111" s="34">
        <v>7.99E7</v>
      </c>
      <c r="L111" s="14" t="s">
        <v>33</v>
      </c>
      <c r="M111" s="20" t="s">
        <v>288</v>
      </c>
      <c r="N111" s="44"/>
      <c r="O111" s="15">
        <f t="shared" si="3"/>
        <v>77900000</v>
      </c>
      <c r="P111" s="4" t="s">
        <v>137</v>
      </c>
      <c r="Q111" s="4"/>
    </row>
    <row r="112">
      <c r="A112" s="7" t="s">
        <v>294</v>
      </c>
      <c r="B112" s="8">
        <v>2025.0</v>
      </c>
      <c r="C112" s="9" t="s">
        <v>28</v>
      </c>
      <c r="D112" s="9" t="s">
        <v>19</v>
      </c>
      <c r="E112" s="9" t="s">
        <v>20</v>
      </c>
      <c r="F112" s="10">
        <v>2.0</v>
      </c>
      <c r="G112" s="11">
        <v>5000.0</v>
      </c>
      <c r="H112" s="18"/>
      <c r="I112" s="12">
        <v>46327.0</v>
      </c>
      <c r="J112" s="38"/>
      <c r="K112" s="34">
        <v>8.399E7</v>
      </c>
      <c r="L112" s="14" t="s">
        <v>33</v>
      </c>
      <c r="M112" s="20" t="s">
        <v>288</v>
      </c>
      <c r="N112" s="44"/>
      <c r="O112" s="15">
        <f t="shared" si="3"/>
        <v>81990000</v>
      </c>
      <c r="P112" s="4" t="s">
        <v>137</v>
      </c>
      <c r="Q112" s="4"/>
    </row>
    <row r="113">
      <c r="A113" s="7" t="s">
        <v>295</v>
      </c>
      <c r="B113" s="8">
        <v>2025.0</v>
      </c>
      <c r="C113" s="9" t="s">
        <v>56</v>
      </c>
      <c r="D113" s="9" t="s">
        <v>19</v>
      </c>
      <c r="E113" s="9" t="s">
        <v>20</v>
      </c>
      <c r="F113" s="10">
        <v>2.5</v>
      </c>
      <c r="G113" s="11">
        <v>12000.0</v>
      </c>
      <c r="H113" s="18"/>
      <c r="I113" s="12">
        <v>46296.0</v>
      </c>
      <c r="J113" s="38"/>
      <c r="K113" s="13">
        <v>7.899E7</v>
      </c>
      <c r="L113" s="14" t="s">
        <v>33</v>
      </c>
      <c r="M113" s="20" t="s">
        <v>288</v>
      </c>
      <c r="N113" s="44"/>
      <c r="O113" s="15">
        <f t="shared" si="3"/>
        <v>76990000</v>
      </c>
      <c r="P113" s="4" t="s">
        <v>137</v>
      </c>
      <c r="Q113" s="4"/>
    </row>
    <row r="114">
      <c r="A114" s="7" t="s">
        <v>296</v>
      </c>
      <c r="B114" s="8">
        <v>2025.0</v>
      </c>
      <c r="C114" s="9" t="s">
        <v>51</v>
      </c>
      <c r="D114" s="9" t="s">
        <v>19</v>
      </c>
      <c r="E114" s="9" t="s">
        <v>20</v>
      </c>
      <c r="F114" s="10">
        <v>2.0</v>
      </c>
      <c r="G114" s="11">
        <v>12000.0</v>
      </c>
      <c r="H114" s="18"/>
      <c r="I114" s="12">
        <v>46296.0</v>
      </c>
      <c r="J114" s="38"/>
      <c r="K114" s="13">
        <v>1.0499E8</v>
      </c>
      <c r="L114" s="14" t="s">
        <v>33</v>
      </c>
      <c r="M114" s="20" t="s">
        <v>288</v>
      </c>
      <c r="N114" s="44"/>
      <c r="O114" s="15">
        <f t="shared" si="3"/>
        <v>102990000</v>
      </c>
      <c r="P114" s="4" t="s">
        <v>137</v>
      </c>
      <c r="Q114" s="4"/>
    </row>
    <row r="115">
      <c r="A115" s="7" t="s">
        <v>297</v>
      </c>
      <c r="B115" s="8">
        <v>2020.0</v>
      </c>
      <c r="C115" s="9" t="s">
        <v>28</v>
      </c>
      <c r="D115" s="9" t="s">
        <v>19</v>
      </c>
      <c r="E115" s="9" t="s">
        <v>20</v>
      </c>
      <c r="F115" s="10">
        <v>2.0</v>
      </c>
      <c r="G115" s="11">
        <v>33000.0</v>
      </c>
      <c r="H115" s="11">
        <v>8.0</v>
      </c>
      <c r="I115" s="38"/>
      <c r="J115" s="38"/>
      <c r="K115" s="13">
        <v>8.099E7</v>
      </c>
      <c r="L115" s="14" t="s">
        <v>33</v>
      </c>
      <c r="M115" s="20" t="s">
        <v>288</v>
      </c>
      <c r="N115" s="44"/>
      <c r="O115" s="15">
        <f t="shared" si="3"/>
        <v>78990000</v>
      </c>
      <c r="P115" s="4" t="s">
        <v>137</v>
      </c>
      <c r="Q115" s="4"/>
    </row>
    <row r="116">
      <c r="A116" s="7" t="s">
        <v>298</v>
      </c>
      <c r="B116" s="8">
        <v>2020.0</v>
      </c>
      <c r="C116" s="9" t="s">
        <v>31</v>
      </c>
      <c r="D116" s="9" t="s">
        <v>19</v>
      </c>
      <c r="E116" s="9" t="s">
        <v>35</v>
      </c>
      <c r="F116" s="10">
        <v>2.5</v>
      </c>
      <c r="G116" s="11">
        <v>58000.0</v>
      </c>
      <c r="H116" s="11">
        <v>4.0</v>
      </c>
      <c r="I116" s="12">
        <v>46296.0</v>
      </c>
      <c r="J116" s="12">
        <v>46174.0</v>
      </c>
      <c r="K116" s="13">
        <v>6.699E7</v>
      </c>
      <c r="L116" s="14" t="s">
        <v>33</v>
      </c>
      <c r="M116" s="20" t="s">
        <v>288</v>
      </c>
      <c r="N116" s="44"/>
      <c r="O116" s="15">
        <f t="shared" si="3"/>
        <v>64990000</v>
      </c>
      <c r="P116" s="4" t="s">
        <v>137</v>
      </c>
      <c r="Q116" s="4"/>
    </row>
    <row r="117">
      <c r="A117" s="7" t="s">
        <v>299</v>
      </c>
      <c r="B117" s="8">
        <v>2025.0</v>
      </c>
      <c r="C117" s="9" t="s">
        <v>18</v>
      </c>
      <c r="D117" s="9" t="s">
        <v>19</v>
      </c>
      <c r="E117" s="9" t="s">
        <v>35</v>
      </c>
      <c r="F117" s="10">
        <v>2.0</v>
      </c>
      <c r="G117" s="11">
        <v>13000.0</v>
      </c>
      <c r="H117" s="11">
        <v>9.0</v>
      </c>
      <c r="I117" s="12">
        <v>46266.0</v>
      </c>
      <c r="J117" s="38"/>
      <c r="K117" s="13">
        <v>1.2599E8</v>
      </c>
      <c r="L117" s="14" t="s">
        <v>33</v>
      </c>
      <c r="M117" s="20" t="s">
        <v>288</v>
      </c>
      <c r="N117" s="44"/>
      <c r="O117" s="15">
        <f t="shared" si="3"/>
        <v>123990000</v>
      </c>
      <c r="P117" s="4" t="s">
        <v>137</v>
      </c>
      <c r="Q117" s="4"/>
    </row>
    <row r="118">
      <c r="A118" s="7" t="s">
        <v>300</v>
      </c>
      <c r="B118" s="8">
        <v>2019.0</v>
      </c>
      <c r="C118" s="9" t="s">
        <v>31</v>
      </c>
      <c r="D118" s="9" t="s">
        <v>19</v>
      </c>
      <c r="E118" s="9" t="s">
        <v>20</v>
      </c>
      <c r="F118" s="10">
        <v>2.0</v>
      </c>
      <c r="G118" s="11">
        <v>90000.0</v>
      </c>
      <c r="H118" s="11">
        <v>2.0</v>
      </c>
      <c r="I118" s="12">
        <v>46174.0</v>
      </c>
      <c r="J118" s="12">
        <v>46388.0</v>
      </c>
      <c r="K118" s="13">
        <v>7.099E7</v>
      </c>
      <c r="L118" s="14" t="s">
        <v>33</v>
      </c>
      <c r="M118" s="20" t="s">
        <v>288</v>
      </c>
      <c r="N118" s="44"/>
      <c r="O118" s="15">
        <f t="shared" si="3"/>
        <v>68990000</v>
      </c>
      <c r="P118" s="4" t="s">
        <v>137</v>
      </c>
      <c r="Q118" s="4"/>
    </row>
    <row r="119">
      <c r="A119" s="45" t="s">
        <v>301</v>
      </c>
      <c r="B119" s="8">
        <v>2023.0</v>
      </c>
      <c r="C119" s="18" t="s">
        <v>42</v>
      </c>
      <c r="D119" s="9" t="s">
        <v>19</v>
      </c>
      <c r="E119" s="9" t="s">
        <v>20</v>
      </c>
      <c r="F119" s="10">
        <v>3.5</v>
      </c>
      <c r="G119" s="11">
        <v>37500.0</v>
      </c>
      <c r="H119" s="11">
        <v>7.0</v>
      </c>
      <c r="I119" s="12">
        <v>46296.0</v>
      </c>
      <c r="J119" s="38"/>
      <c r="K119" s="13">
        <v>1.1699E8</v>
      </c>
      <c r="L119" s="14" t="s">
        <v>33</v>
      </c>
      <c r="M119" s="20" t="s">
        <v>288</v>
      </c>
      <c r="N119" s="44"/>
      <c r="O119" s="15">
        <f t="shared" si="3"/>
        <v>114990000</v>
      </c>
      <c r="P119" s="4" t="s">
        <v>137</v>
      </c>
      <c r="Q119" s="4"/>
    </row>
    <row r="120">
      <c r="A120" s="45" t="s">
        <v>302</v>
      </c>
      <c r="B120" s="8">
        <v>2025.0</v>
      </c>
      <c r="C120" s="18" t="s">
        <v>42</v>
      </c>
      <c r="D120" s="9" t="s">
        <v>19</v>
      </c>
      <c r="E120" s="9" t="s">
        <v>20</v>
      </c>
      <c r="F120" s="10">
        <v>1.2</v>
      </c>
      <c r="G120" s="11">
        <v>22000.0</v>
      </c>
      <c r="H120" s="11">
        <v>5.0</v>
      </c>
      <c r="I120" s="38"/>
      <c r="J120" s="38"/>
      <c r="K120" s="13">
        <v>1.3699E8</v>
      </c>
      <c r="L120" s="14" t="s">
        <v>33</v>
      </c>
      <c r="M120" s="20" t="s">
        <v>288</v>
      </c>
      <c r="N120" s="44"/>
      <c r="O120" s="15">
        <f t="shared" si="3"/>
        <v>134990000</v>
      </c>
      <c r="P120" s="4" t="s">
        <v>137</v>
      </c>
      <c r="Q120" s="4"/>
    </row>
    <row r="121">
      <c r="A121" s="45" t="s">
        <v>303</v>
      </c>
      <c r="B121" s="8">
        <v>2026.0</v>
      </c>
      <c r="C121" s="18" t="s">
        <v>28</v>
      </c>
      <c r="D121" s="9" t="s">
        <v>19</v>
      </c>
      <c r="E121" s="9" t="s">
        <v>35</v>
      </c>
      <c r="F121" s="10">
        <v>2.0</v>
      </c>
      <c r="G121" s="11">
        <v>7500.0</v>
      </c>
      <c r="H121" s="11">
        <v>5.0</v>
      </c>
      <c r="I121" s="12">
        <v>46143.0</v>
      </c>
      <c r="J121" s="38"/>
      <c r="K121" s="13">
        <v>1.2999E8</v>
      </c>
      <c r="L121" s="14" t="s">
        <v>33</v>
      </c>
      <c r="M121" s="20" t="s">
        <v>288</v>
      </c>
      <c r="N121" s="44"/>
      <c r="O121" s="15">
        <f t="shared" si="3"/>
        <v>127990000</v>
      </c>
      <c r="P121" s="4" t="s">
        <v>137</v>
      </c>
      <c r="Q121" s="4"/>
    </row>
    <row r="122">
      <c r="A122" s="45" t="s">
        <v>304</v>
      </c>
      <c r="B122" s="8">
        <v>2024.0</v>
      </c>
      <c r="C122" s="18" t="s">
        <v>28</v>
      </c>
      <c r="D122" s="9" t="s">
        <v>19</v>
      </c>
      <c r="E122" s="9" t="s">
        <v>68</v>
      </c>
      <c r="F122" s="10">
        <v>1.3</v>
      </c>
      <c r="G122" s="11">
        <v>24800.0</v>
      </c>
      <c r="H122" s="11">
        <v>1.0</v>
      </c>
      <c r="I122" s="12">
        <v>46204.0</v>
      </c>
      <c r="J122" s="38"/>
      <c r="K122" s="13">
        <v>1.2999E8</v>
      </c>
      <c r="L122" s="14" t="s">
        <v>33</v>
      </c>
      <c r="M122" s="20" t="s">
        <v>288</v>
      </c>
      <c r="N122" s="44"/>
      <c r="O122" s="15">
        <f t="shared" si="3"/>
        <v>127990000</v>
      </c>
      <c r="P122" s="4" t="s">
        <v>137</v>
      </c>
      <c r="Q122" s="4"/>
    </row>
    <row r="123">
      <c r="A123" s="45" t="s">
        <v>305</v>
      </c>
      <c r="B123" s="8">
        <v>2022.0</v>
      </c>
      <c r="C123" s="18" t="s">
        <v>28</v>
      </c>
      <c r="D123" s="9" t="s">
        <v>19</v>
      </c>
      <c r="E123" s="9" t="s">
        <v>35</v>
      </c>
      <c r="F123" s="10">
        <v>1.5</v>
      </c>
      <c r="G123" s="11">
        <v>42700.0</v>
      </c>
      <c r="H123" s="11">
        <v>9.0</v>
      </c>
      <c r="I123" s="38"/>
      <c r="J123" s="38"/>
      <c r="K123" s="13">
        <v>2.1699E8</v>
      </c>
      <c r="L123" s="14" t="s">
        <v>33</v>
      </c>
      <c r="M123" s="20" t="s">
        <v>288</v>
      </c>
      <c r="N123" s="44"/>
      <c r="O123" s="15">
        <f t="shared" si="3"/>
        <v>214990000</v>
      </c>
      <c r="P123" s="4" t="s">
        <v>137</v>
      </c>
      <c r="Q123" s="4"/>
    </row>
    <row r="124">
      <c r="A124" s="45" t="s">
        <v>306</v>
      </c>
      <c r="B124" s="8">
        <v>2026.0</v>
      </c>
      <c r="C124" s="18" t="s">
        <v>51</v>
      </c>
      <c r="D124" s="9" t="s">
        <v>19</v>
      </c>
      <c r="E124" s="9" t="s">
        <v>68</v>
      </c>
      <c r="F124" s="10">
        <v>1.3</v>
      </c>
      <c r="G124" s="11">
        <v>5600.0</v>
      </c>
      <c r="H124" s="11">
        <v>4.0</v>
      </c>
      <c r="I124" s="12">
        <v>46179.0</v>
      </c>
      <c r="J124" s="38"/>
      <c r="K124" s="13">
        <v>1.2199E8</v>
      </c>
      <c r="L124" s="14" t="s">
        <v>33</v>
      </c>
      <c r="M124" s="20" t="s">
        <v>288</v>
      </c>
      <c r="N124" s="44"/>
      <c r="O124" s="15">
        <f t="shared" si="3"/>
        <v>119990000</v>
      </c>
      <c r="P124" s="4" t="s">
        <v>137</v>
      </c>
      <c r="Q124" s="4"/>
    </row>
    <row r="125">
      <c r="A125" s="45" t="s">
        <v>307</v>
      </c>
      <c r="B125" s="8">
        <v>2006.0</v>
      </c>
      <c r="C125" s="18" t="s">
        <v>31</v>
      </c>
      <c r="D125" s="9" t="s">
        <v>19</v>
      </c>
      <c r="E125" s="9" t="s">
        <v>20</v>
      </c>
      <c r="F125" s="10">
        <v>2.0</v>
      </c>
      <c r="G125" s="11">
        <v>135500.0</v>
      </c>
      <c r="H125" s="11">
        <v>9.0</v>
      </c>
      <c r="I125" s="16">
        <v>46113.0</v>
      </c>
      <c r="J125" s="38"/>
      <c r="K125" s="13">
        <v>7.199E7</v>
      </c>
      <c r="L125" s="14" t="s">
        <v>33</v>
      </c>
      <c r="M125" s="20" t="s">
        <v>288</v>
      </c>
      <c r="N125" s="44"/>
      <c r="O125" s="15">
        <f t="shared" si="3"/>
        <v>69990000</v>
      </c>
      <c r="P125" s="4" t="s">
        <v>137</v>
      </c>
      <c r="Q125" s="4"/>
    </row>
    <row r="126">
      <c r="A126" s="45" t="s">
        <v>308</v>
      </c>
      <c r="B126" s="8">
        <v>2021.0</v>
      </c>
      <c r="C126" s="18" t="s">
        <v>51</v>
      </c>
      <c r="D126" s="9" t="s">
        <v>19</v>
      </c>
      <c r="E126" s="9" t="s">
        <v>20</v>
      </c>
      <c r="F126" s="10">
        <v>2.4</v>
      </c>
      <c r="G126" s="11">
        <v>49000.0</v>
      </c>
      <c r="H126" s="11">
        <v>9.0</v>
      </c>
      <c r="I126" s="16">
        <v>46082.0</v>
      </c>
      <c r="J126" s="38"/>
      <c r="K126" s="13">
        <v>1.2199E8</v>
      </c>
      <c r="L126" s="14" t="s">
        <v>33</v>
      </c>
      <c r="M126" s="20" t="s">
        <v>288</v>
      </c>
      <c r="N126" s="44"/>
      <c r="O126" s="15">
        <f t="shared" si="3"/>
        <v>119990000</v>
      </c>
      <c r="P126" s="4" t="s">
        <v>137</v>
      </c>
      <c r="Q126" s="4"/>
    </row>
    <row r="127">
      <c r="A127" s="45" t="s">
        <v>309</v>
      </c>
      <c r="B127" s="8">
        <v>2021.0</v>
      </c>
      <c r="C127" s="18" t="s">
        <v>31</v>
      </c>
      <c r="D127" s="9" t="s">
        <v>19</v>
      </c>
      <c r="E127" s="9" t="s">
        <v>35</v>
      </c>
      <c r="F127" s="10">
        <v>2.4</v>
      </c>
      <c r="G127" s="11">
        <v>51000.0</v>
      </c>
      <c r="H127" s="11">
        <v>8.0</v>
      </c>
      <c r="I127" s="16">
        <v>46113.0</v>
      </c>
      <c r="J127" s="38"/>
      <c r="K127" s="13">
        <v>1.4399E8</v>
      </c>
      <c r="L127" s="14" t="s">
        <v>33</v>
      </c>
      <c r="M127" s="20" t="s">
        <v>288</v>
      </c>
      <c r="N127" s="44"/>
      <c r="O127" s="15">
        <f t="shared" si="3"/>
        <v>141990000</v>
      </c>
      <c r="P127" s="4" t="s">
        <v>137</v>
      </c>
      <c r="Q127" s="4"/>
    </row>
    <row r="128">
      <c r="A128" s="45" t="s">
        <v>310</v>
      </c>
      <c r="B128" s="8">
        <v>2021.0</v>
      </c>
      <c r="C128" s="18" t="s">
        <v>31</v>
      </c>
      <c r="D128" s="9" t="s">
        <v>19</v>
      </c>
      <c r="E128" s="9" t="s">
        <v>20</v>
      </c>
      <c r="F128" s="10">
        <v>2.2</v>
      </c>
      <c r="G128" s="11">
        <v>42500.0</v>
      </c>
      <c r="H128" s="11">
        <v>7.0</v>
      </c>
      <c r="I128" s="16">
        <v>46357.0</v>
      </c>
      <c r="J128" s="38"/>
      <c r="K128" s="13">
        <v>9.899E7</v>
      </c>
      <c r="L128" s="14" t="s">
        <v>33</v>
      </c>
      <c r="M128" s="20" t="s">
        <v>288</v>
      </c>
      <c r="N128" s="44"/>
      <c r="O128" s="15">
        <f t="shared" si="3"/>
        <v>96990000</v>
      </c>
      <c r="P128" s="4" t="s">
        <v>137</v>
      </c>
      <c r="Q128" s="4"/>
    </row>
    <row r="129">
      <c r="A129" s="45" t="s">
        <v>311</v>
      </c>
      <c r="B129" s="8">
        <v>2021.0</v>
      </c>
      <c r="C129" s="18" t="s">
        <v>51</v>
      </c>
      <c r="D129" s="9" t="s">
        <v>19</v>
      </c>
      <c r="E129" s="9" t="s">
        <v>20</v>
      </c>
      <c r="F129" s="10">
        <v>1.6</v>
      </c>
      <c r="G129" s="11">
        <v>60500.0</v>
      </c>
      <c r="H129" s="11">
        <v>7.0</v>
      </c>
      <c r="I129" s="16">
        <v>46334.0</v>
      </c>
      <c r="J129" s="38"/>
      <c r="K129" s="13">
        <v>1.0699E8</v>
      </c>
      <c r="L129" s="14" t="s">
        <v>33</v>
      </c>
      <c r="M129" s="20" t="s">
        <v>288</v>
      </c>
      <c r="N129" s="44"/>
      <c r="O129" s="15">
        <f t="shared" si="3"/>
        <v>104990000</v>
      </c>
      <c r="P129" s="4" t="s">
        <v>137</v>
      </c>
      <c r="Q129" s="4"/>
    </row>
    <row r="130">
      <c r="A130" s="45" t="s">
        <v>312</v>
      </c>
      <c r="B130" s="8">
        <v>2027.0</v>
      </c>
      <c r="C130" s="18" t="s">
        <v>28</v>
      </c>
      <c r="D130" s="9" t="s">
        <v>19</v>
      </c>
      <c r="E130" s="9" t="s">
        <v>20</v>
      </c>
      <c r="F130" s="10">
        <v>1.2</v>
      </c>
      <c r="G130" s="18"/>
      <c r="H130" s="18"/>
      <c r="I130" s="40"/>
      <c r="J130" s="38"/>
      <c r="K130" s="13">
        <v>1.8799E8</v>
      </c>
      <c r="L130" s="14" t="s">
        <v>33</v>
      </c>
      <c r="M130" s="20" t="s">
        <v>288</v>
      </c>
      <c r="N130" s="44"/>
      <c r="O130" s="15">
        <f t="shared" si="3"/>
        <v>185990000</v>
      </c>
      <c r="P130" s="4" t="s">
        <v>137</v>
      </c>
      <c r="Q130" s="4"/>
    </row>
    <row r="131">
      <c r="A131" s="45" t="s">
        <v>313</v>
      </c>
      <c r="B131" s="8">
        <v>2019.0</v>
      </c>
      <c r="C131" s="18" t="s">
        <v>18</v>
      </c>
      <c r="D131" s="9" t="s">
        <v>19</v>
      </c>
      <c r="E131" s="9" t="s">
        <v>68</v>
      </c>
      <c r="F131" s="10">
        <v>2.4</v>
      </c>
      <c r="G131" s="11">
        <v>36600.0</v>
      </c>
      <c r="H131" s="11">
        <v>2.0</v>
      </c>
      <c r="I131" s="40"/>
      <c r="J131" s="38"/>
      <c r="K131" s="13">
        <v>1.1199E8</v>
      </c>
      <c r="L131" s="14" t="s">
        <v>33</v>
      </c>
      <c r="M131" s="20" t="s">
        <v>288</v>
      </c>
      <c r="N131" s="44"/>
      <c r="O131" s="15">
        <f t="shared" si="3"/>
        <v>109990000</v>
      </c>
      <c r="P131" s="4" t="s">
        <v>137</v>
      </c>
      <c r="Q131" s="4"/>
    </row>
    <row r="132">
      <c r="A132" s="45" t="s">
        <v>314</v>
      </c>
      <c r="B132" s="8">
        <v>2013.0</v>
      </c>
      <c r="C132" s="18" t="s">
        <v>18</v>
      </c>
      <c r="D132" s="9" t="s">
        <v>19</v>
      </c>
      <c r="E132" s="9" t="s">
        <v>20</v>
      </c>
      <c r="F132" s="10">
        <v>2.0</v>
      </c>
      <c r="G132" s="11">
        <v>85000.0</v>
      </c>
      <c r="H132" s="11">
        <v>5.0</v>
      </c>
      <c r="I132" s="40"/>
      <c r="J132" s="38"/>
      <c r="K132" s="13">
        <v>9.899E7</v>
      </c>
      <c r="L132" s="14" t="s">
        <v>33</v>
      </c>
      <c r="M132" s="20" t="s">
        <v>288</v>
      </c>
      <c r="N132" s="44"/>
      <c r="O132" s="15">
        <f t="shared" si="3"/>
        <v>96990000</v>
      </c>
      <c r="P132" s="4" t="s">
        <v>137</v>
      </c>
      <c r="Q132" s="4"/>
    </row>
    <row r="133">
      <c r="A133" s="45" t="s">
        <v>315</v>
      </c>
      <c r="B133" s="8">
        <v>2019.0</v>
      </c>
      <c r="C133" s="18" t="s">
        <v>28</v>
      </c>
      <c r="D133" s="9" t="s">
        <v>19</v>
      </c>
      <c r="E133" s="9" t="s">
        <v>20</v>
      </c>
      <c r="F133" s="10">
        <v>1.6</v>
      </c>
      <c r="G133" s="11">
        <v>65000.0</v>
      </c>
      <c r="H133" s="11">
        <v>1.0</v>
      </c>
      <c r="I133" s="16">
        <v>46266.0</v>
      </c>
      <c r="J133" s="12">
        <v>46296.0</v>
      </c>
      <c r="K133" s="13">
        <v>8.899E7</v>
      </c>
      <c r="L133" s="14" t="s">
        <v>33</v>
      </c>
      <c r="M133" s="20" t="s">
        <v>288</v>
      </c>
      <c r="N133" s="44"/>
      <c r="O133" s="15">
        <f t="shared" si="3"/>
        <v>86990000</v>
      </c>
      <c r="P133" s="4" t="s">
        <v>137</v>
      </c>
      <c r="Q133" s="4"/>
    </row>
    <row r="134">
      <c r="A134" s="45" t="s">
        <v>316</v>
      </c>
      <c r="B134" s="8">
        <v>2018.0</v>
      </c>
      <c r="C134" s="18" t="s">
        <v>51</v>
      </c>
      <c r="D134" s="9" t="s">
        <v>19</v>
      </c>
      <c r="E134" s="9" t="s">
        <v>20</v>
      </c>
      <c r="F134" s="10">
        <v>1.6</v>
      </c>
      <c r="G134" s="11">
        <v>74500.0</v>
      </c>
      <c r="H134" s="18"/>
      <c r="I134" s="40"/>
      <c r="J134" s="38"/>
      <c r="K134" s="13">
        <v>7.799E7</v>
      </c>
      <c r="L134" s="14" t="s">
        <v>33</v>
      </c>
      <c r="M134" s="20" t="s">
        <v>288</v>
      </c>
      <c r="N134" s="44"/>
      <c r="O134" s="15">
        <f t="shared" si="3"/>
        <v>75990000</v>
      </c>
      <c r="P134" s="4" t="s">
        <v>137</v>
      </c>
      <c r="Q134" s="4"/>
    </row>
    <row r="135">
      <c r="A135" s="45" t="s">
        <v>317</v>
      </c>
      <c r="B135" s="8">
        <v>2022.0</v>
      </c>
      <c r="C135" s="18" t="s">
        <v>28</v>
      </c>
      <c r="D135" s="9" t="s">
        <v>19</v>
      </c>
      <c r="E135" s="9" t="s">
        <v>35</v>
      </c>
      <c r="F135" s="10">
        <v>2.4</v>
      </c>
      <c r="G135" s="11">
        <v>44000.0</v>
      </c>
      <c r="H135" s="11">
        <v>6.0</v>
      </c>
      <c r="I135" s="16">
        <v>46023.0</v>
      </c>
      <c r="J135" s="12">
        <v>46266.0</v>
      </c>
      <c r="K135" s="13">
        <v>7.899E7</v>
      </c>
      <c r="L135" s="14" t="s">
        <v>33</v>
      </c>
      <c r="M135" s="20" t="s">
        <v>288</v>
      </c>
      <c r="N135" s="44"/>
      <c r="O135" s="15">
        <f t="shared" si="3"/>
        <v>76990000</v>
      </c>
      <c r="P135" s="4" t="s">
        <v>137</v>
      </c>
      <c r="Q135" s="4"/>
    </row>
    <row r="136">
      <c r="A136" s="45" t="s">
        <v>318</v>
      </c>
      <c r="B136" s="8">
        <v>2020.0</v>
      </c>
      <c r="C136" s="18" t="s">
        <v>51</v>
      </c>
      <c r="D136" s="9" t="s">
        <v>19</v>
      </c>
      <c r="E136" s="9" t="s">
        <v>68</v>
      </c>
      <c r="F136" s="10">
        <v>2.0</v>
      </c>
      <c r="G136" s="11">
        <v>34000.0</v>
      </c>
      <c r="H136" s="11">
        <v>9.0</v>
      </c>
      <c r="I136" s="40"/>
      <c r="J136" s="38"/>
      <c r="K136" s="13">
        <v>8.199E7</v>
      </c>
      <c r="L136" s="14" t="s">
        <v>33</v>
      </c>
      <c r="M136" s="20" t="s">
        <v>288</v>
      </c>
      <c r="N136" s="44"/>
      <c r="O136" s="15">
        <f t="shared" si="3"/>
        <v>79990000</v>
      </c>
      <c r="P136" s="4" t="s">
        <v>137</v>
      </c>
      <c r="Q136" s="4"/>
    </row>
    <row r="137">
      <c r="A137" s="45" t="s">
        <v>318</v>
      </c>
      <c r="B137" s="8">
        <v>2023.0</v>
      </c>
      <c r="C137" s="18" t="s">
        <v>28</v>
      </c>
      <c r="D137" s="9" t="s">
        <v>19</v>
      </c>
      <c r="E137" s="9" t="s">
        <v>20</v>
      </c>
      <c r="F137" s="10">
        <v>1.6</v>
      </c>
      <c r="G137" s="11">
        <v>41500.0</v>
      </c>
      <c r="H137" s="11">
        <v>1.0</v>
      </c>
      <c r="I137" s="40"/>
      <c r="J137" s="38"/>
      <c r="K137" s="13">
        <v>8.299E7</v>
      </c>
      <c r="L137" s="14" t="s">
        <v>33</v>
      </c>
      <c r="M137" s="20" t="s">
        <v>288</v>
      </c>
      <c r="N137" s="44"/>
      <c r="O137" s="15">
        <f t="shared" si="3"/>
        <v>80990000</v>
      </c>
      <c r="P137" s="4" t="s">
        <v>137</v>
      </c>
      <c r="Q137" s="4"/>
    </row>
    <row r="138">
      <c r="A138" s="45" t="s">
        <v>319</v>
      </c>
      <c r="B138" s="8">
        <v>2013.0</v>
      </c>
      <c r="C138" s="18" t="s">
        <v>56</v>
      </c>
      <c r="D138" s="9" t="s">
        <v>19</v>
      </c>
      <c r="E138" s="9" t="s">
        <v>68</v>
      </c>
      <c r="F138" s="10">
        <v>2.0</v>
      </c>
      <c r="G138" s="11">
        <v>177000.0</v>
      </c>
      <c r="H138" s="11">
        <v>8.0</v>
      </c>
      <c r="I138" s="16">
        <v>46174.0</v>
      </c>
      <c r="J138" s="12">
        <v>46174.0</v>
      </c>
      <c r="K138" s="13">
        <v>3.699E7</v>
      </c>
      <c r="L138" s="14" t="s">
        <v>33</v>
      </c>
      <c r="M138" s="20" t="s">
        <v>288</v>
      </c>
      <c r="N138" s="44"/>
      <c r="O138" s="15">
        <f t="shared" si="3"/>
        <v>34990000</v>
      </c>
      <c r="P138" s="4" t="s">
        <v>137</v>
      </c>
      <c r="Q138" s="4"/>
    </row>
    <row r="139">
      <c r="A139" s="45" t="s">
        <v>320</v>
      </c>
      <c r="B139" s="8">
        <v>2014.0</v>
      </c>
      <c r="C139" s="18" t="s">
        <v>51</v>
      </c>
      <c r="D139" s="9" t="s">
        <v>19</v>
      </c>
      <c r="E139" s="9" t="s">
        <v>35</v>
      </c>
      <c r="F139" s="10">
        <v>1.4</v>
      </c>
      <c r="G139" s="11">
        <v>49000.0</v>
      </c>
      <c r="H139" s="11">
        <v>6.0</v>
      </c>
      <c r="I139" s="16">
        <v>46174.0</v>
      </c>
      <c r="J139" s="12">
        <v>46174.0</v>
      </c>
      <c r="K139" s="13">
        <v>4.099E7</v>
      </c>
      <c r="L139" s="14" t="s">
        <v>33</v>
      </c>
      <c r="M139" s="20" t="s">
        <v>288</v>
      </c>
      <c r="N139" s="44"/>
      <c r="O139" s="15">
        <f t="shared" si="3"/>
        <v>38990000</v>
      </c>
      <c r="P139" s="4" t="s">
        <v>137</v>
      </c>
      <c r="Q139" s="4"/>
    </row>
    <row r="140">
      <c r="A140" s="45" t="s">
        <v>321</v>
      </c>
      <c r="B140" s="8">
        <v>2013.0</v>
      </c>
      <c r="C140" s="18" t="s">
        <v>28</v>
      </c>
      <c r="D140" s="9" t="s">
        <v>19</v>
      </c>
      <c r="E140" s="9" t="s">
        <v>20</v>
      </c>
      <c r="F140" s="10">
        <v>1.6</v>
      </c>
      <c r="G140" s="11">
        <v>165000.0</v>
      </c>
      <c r="H140" s="11">
        <v>4.0</v>
      </c>
      <c r="I140" s="16">
        <v>46082.0</v>
      </c>
      <c r="J140" s="12">
        <v>46082.0</v>
      </c>
      <c r="K140" s="13">
        <v>4.199E7</v>
      </c>
      <c r="L140" s="14" t="s">
        <v>33</v>
      </c>
      <c r="M140" s="20" t="s">
        <v>288</v>
      </c>
      <c r="N140" s="44"/>
      <c r="O140" s="15">
        <f t="shared" si="3"/>
        <v>39990000</v>
      </c>
      <c r="P140" s="4" t="s">
        <v>137</v>
      </c>
      <c r="Q140" s="4"/>
    </row>
    <row r="141">
      <c r="A141" s="45" t="s">
        <v>322</v>
      </c>
      <c r="B141" s="8">
        <v>2016.0</v>
      </c>
      <c r="C141" s="18" t="s">
        <v>31</v>
      </c>
      <c r="D141" s="9" t="s">
        <v>19</v>
      </c>
      <c r="E141" s="9" t="s">
        <v>68</v>
      </c>
      <c r="F141" s="10">
        <v>2.0</v>
      </c>
      <c r="G141" s="11">
        <v>87500.0</v>
      </c>
      <c r="H141" s="11">
        <v>3.0</v>
      </c>
      <c r="I141" s="16">
        <v>46054.0</v>
      </c>
      <c r="J141" s="12">
        <v>46296.0</v>
      </c>
      <c r="K141" s="13">
        <v>5.099E7</v>
      </c>
      <c r="L141" s="14" t="s">
        <v>33</v>
      </c>
      <c r="M141" s="20" t="s">
        <v>288</v>
      </c>
      <c r="N141" s="44"/>
      <c r="O141" s="15">
        <f t="shared" si="3"/>
        <v>48990000</v>
      </c>
      <c r="P141" s="4" t="s">
        <v>137</v>
      </c>
      <c r="Q141" s="4"/>
    </row>
    <row r="142">
      <c r="A142" s="45" t="s">
        <v>323</v>
      </c>
      <c r="B142" s="8">
        <v>2017.0</v>
      </c>
      <c r="C142" s="18" t="s">
        <v>18</v>
      </c>
      <c r="D142" s="9" t="s">
        <v>19</v>
      </c>
      <c r="E142" s="9" t="s">
        <v>35</v>
      </c>
      <c r="F142" s="10">
        <v>1.5</v>
      </c>
      <c r="G142" s="11">
        <v>87500.0</v>
      </c>
      <c r="H142" s="11">
        <v>8.0</v>
      </c>
      <c r="I142" s="40"/>
      <c r="J142" s="38"/>
      <c r="K142" s="13">
        <v>4.299E7</v>
      </c>
      <c r="L142" s="14" t="s">
        <v>33</v>
      </c>
      <c r="M142" s="20" t="s">
        <v>288</v>
      </c>
      <c r="N142" s="44"/>
      <c r="O142" s="15">
        <f t="shared" si="3"/>
        <v>40990000</v>
      </c>
      <c r="P142" s="4" t="s">
        <v>137</v>
      </c>
      <c r="Q142" s="4"/>
    </row>
    <row r="143">
      <c r="A143" s="45" t="s">
        <v>324</v>
      </c>
      <c r="B143" s="8">
        <v>2017.0</v>
      </c>
      <c r="C143" s="18" t="s">
        <v>31</v>
      </c>
      <c r="D143" s="9" t="s">
        <v>19</v>
      </c>
      <c r="E143" s="9" t="s">
        <v>20</v>
      </c>
      <c r="F143" s="10">
        <v>2.5</v>
      </c>
      <c r="G143" s="11">
        <v>66000.0</v>
      </c>
      <c r="H143" s="11">
        <v>6.0</v>
      </c>
      <c r="I143" s="16">
        <v>46266.0</v>
      </c>
      <c r="J143" s="16">
        <v>46266.0</v>
      </c>
      <c r="K143" s="13">
        <v>7.499E7</v>
      </c>
      <c r="L143" s="14" t="s">
        <v>33</v>
      </c>
      <c r="M143" s="20" t="s">
        <v>288</v>
      </c>
      <c r="N143" s="44"/>
      <c r="O143" s="15">
        <f t="shared" si="3"/>
        <v>72990000</v>
      </c>
      <c r="P143" s="4" t="s">
        <v>137</v>
      </c>
      <c r="Q143" s="4"/>
    </row>
    <row r="144">
      <c r="A144" s="45" t="s">
        <v>325</v>
      </c>
      <c r="B144" s="8">
        <v>2012.0</v>
      </c>
      <c r="C144" s="18" t="s">
        <v>42</v>
      </c>
      <c r="D144" s="9" t="s">
        <v>19</v>
      </c>
      <c r="E144" s="9" t="s">
        <v>68</v>
      </c>
      <c r="F144" s="10">
        <v>2.0</v>
      </c>
      <c r="G144" s="11">
        <v>119000.0</v>
      </c>
      <c r="H144" s="11">
        <v>2.0</v>
      </c>
      <c r="I144" s="16">
        <v>46054.0</v>
      </c>
      <c r="J144" s="38"/>
      <c r="K144" s="13">
        <v>4.199E7</v>
      </c>
      <c r="L144" s="14" t="s">
        <v>33</v>
      </c>
      <c r="M144" s="20" t="s">
        <v>288</v>
      </c>
      <c r="N144" s="44"/>
      <c r="O144" s="15">
        <f t="shared" si="3"/>
        <v>39990000</v>
      </c>
      <c r="P144" s="4" t="s">
        <v>137</v>
      </c>
      <c r="Q144" s="4"/>
    </row>
    <row r="145">
      <c r="A145" s="45" t="s">
        <v>326</v>
      </c>
      <c r="B145" s="8">
        <v>2008.0</v>
      </c>
      <c r="C145" s="18" t="s">
        <v>42</v>
      </c>
      <c r="D145" s="9" t="s">
        <v>19</v>
      </c>
      <c r="E145" s="9" t="s">
        <v>68</v>
      </c>
      <c r="F145" s="10">
        <v>1.8</v>
      </c>
      <c r="G145" s="11">
        <v>196000.0</v>
      </c>
      <c r="H145" s="11">
        <v>9.0</v>
      </c>
      <c r="I145" s="16">
        <v>46113.0</v>
      </c>
      <c r="J145" s="16">
        <v>46113.0</v>
      </c>
      <c r="K145" s="13">
        <v>4.199E7</v>
      </c>
      <c r="L145" s="14" t="s">
        <v>33</v>
      </c>
      <c r="M145" s="20" t="s">
        <v>288</v>
      </c>
      <c r="N145" s="44"/>
      <c r="O145" s="15">
        <f t="shared" si="3"/>
        <v>39990000</v>
      </c>
      <c r="P145" s="4" t="s">
        <v>137</v>
      </c>
      <c r="Q145" s="4"/>
    </row>
    <row r="146">
      <c r="A146" s="45" t="s">
        <v>327</v>
      </c>
      <c r="B146" s="8">
        <v>2015.0</v>
      </c>
      <c r="C146" s="18" t="s">
        <v>28</v>
      </c>
      <c r="D146" s="9" t="s">
        <v>19</v>
      </c>
      <c r="E146" s="9" t="s">
        <v>68</v>
      </c>
      <c r="F146" s="10">
        <v>1.0</v>
      </c>
      <c r="G146" s="11">
        <v>109000.0</v>
      </c>
      <c r="H146" s="11">
        <v>6.0</v>
      </c>
      <c r="I146" s="16">
        <v>46113.0</v>
      </c>
      <c r="J146" s="16">
        <v>46113.0</v>
      </c>
      <c r="K146" s="13">
        <v>6.399E7</v>
      </c>
      <c r="L146" s="14" t="s">
        <v>33</v>
      </c>
      <c r="M146" s="20" t="s">
        <v>288</v>
      </c>
      <c r="N146" s="44"/>
      <c r="O146" s="15">
        <f t="shared" si="3"/>
        <v>61990000</v>
      </c>
      <c r="P146" s="4" t="s">
        <v>137</v>
      </c>
      <c r="Q146" s="4"/>
    </row>
    <row r="147">
      <c r="A147" s="45" t="s">
        <v>328</v>
      </c>
      <c r="B147" s="8">
        <v>2016.0</v>
      </c>
      <c r="C147" s="18" t="s">
        <v>28</v>
      </c>
      <c r="D147" s="9" t="s">
        <v>19</v>
      </c>
      <c r="E147" s="9" t="s">
        <v>68</v>
      </c>
      <c r="F147" s="10">
        <v>1.6</v>
      </c>
      <c r="G147" s="11">
        <v>85000.0</v>
      </c>
      <c r="H147" s="11">
        <v>3.0</v>
      </c>
      <c r="I147" s="40"/>
      <c r="J147" s="38"/>
      <c r="K147" s="13">
        <v>5.599E7</v>
      </c>
      <c r="L147" s="14" t="s">
        <v>33</v>
      </c>
      <c r="M147" s="20" t="s">
        <v>288</v>
      </c>
      <c r="N147" s="44"/>
      <c r="O147" s="15">
        <f t="shared" si="3"/>
        <v>53990000</v>
      </c>
      <c r="P147" s="4" t="s">
        <v>137</v>
      </c>
      <c r="Q147" s="4"/>
    </row>
    <row r="148">
      <c r="A148" s="45" t="s">
        <v>329</v>
      </c>
      <c r="B148" s="8">
        <v>2011.0</v>
      </c>
      <c r="C148" s="18" t="s">
        <v>28</v>
      </c>
      <c r="D148" s="9" t="s">
        <v>19</v>
      </c>
      <c r="E148" s="9" t="s">
        <v>35</v>
      </c>
      <c r="F148" s="10">
        <v>1.4</v>
      </c>
      <c r="G148" s="11">
        <v>91000.0</v>
      </c>
      <c r="H148" s="18"/>
      <c r="I148" s="40"/>
      <c r="J148" s="12">
        <v>46143.0</v>
      </c>
      <c r="K148" s="13">
        <v>4.699E7</v>
      </c>
      <c r="L148" s="14" t="s">
        <v>33</v>
      </c>
      <c r="M148" s="20" t="s">
        <v>288</v>
      </c>
      <c r="N148" s="44"/>
      <c r="O148" s="15">
        <f t="shared" si="3"/>
        <v>44990000</v>
      </c>
      <c r="P148" s="4" t="s">
        <v>137</v>
      </c>
      <c r="Q148" s="4"/>
    </row>
    <row r="149">
      <c r="A149" s="45" t="s">
        <v>330</v>
      </c>
      <c r="B149" s="8">
        <v>2023.0</v>
      </c>
      <c r="C149" s="18" t="s">
        <v>51</v>
      </c>
      <c r="D149" s="9" t="s">
        <v>19</v>
      </c>
      <c r="E149" s="9" t="s">
        <v>20</v>
      </c>
      <c r="F149" s="10">
        <v>1.2</v>
      </c>
      <c r="G149" s="11">
        <v>21342.0</v>
      </c>
      <c r="H149" s="11">
        <v>5.0</v>
      </c>
      <c r="I149" s="16">
        <v>46174.0</v>
      </c>
      <c r="J149" s="16">
        <v>46174.0</v>
      </c>
      <c r="K149" s="13">
        <v>8.099E7</v>
      </c>
      <c r="L149" s="14" t="s">
        <v>33</v>
      </c>
      <c r="M149" s="20" t="s">
        <v>288</v>
      </c>
      <c r="N149" s="44"/>
      <c r="O149" s="15">
        <f t="shared" si="3"/>
        <v>78990000</v>
      </c>
      <c r="P149" s="4" t="s">
        <v>137</v>
      </c>
      <c r="Q149" s="4"/>
    </row>
    <row r="150">
      <c r="A150" s="45" t="s">
        <v>331</v>
      </c>
      <c r="B150" s="8">
        <v>2023.0</v>
      </c>
      <c r="C150" s="18" t="s">
        <v>31</v>
      </c>
      <c r="D150" s="9" t="s">
        <v>19</v>
      </c>
      <c r="E150" s="9" t="s">
        <v>20</v>
      </c>
      <c r="F150" s="10">
        <v>3.6</v>
      </c>
      <c r="G150" s="11">
        <v>64000.0</v>
      </c>
      <c r="H150" s="11">
        <v>3.0</v>
      </c>
      <c r="I150" s="16">
        <v>46266.0</v>
      </c>
      <c r="J150" s="12">
        <v>46266.0</v>
      </c>
      <c r="K150" s="13">
        <v>1.7499E8</v>
      </c>
      <c r="L150" s="14" t="s">
        <v>33</v>
      </c>
      <c r="M150" s="20" t="s">
        <v>288</v>
      </c>
      <c r="N150" s="44"/>
      <c r="O150" s="15">
        <f t="shared" si="3"/>
        <v>172990000</v>
      </c>
      <c r="P150" s="4" t="s">
        <v>137</v>
      </c>
      <c r="Q150" s="4"/>
    </row>
    <row r="151">
      <c r="A151" s="45" t="s">
        <v>332</v>
      </c>
      <c r="B151" s="8">
        <v>2012.0</v>
      </c>
      <c r="C151" s="18" t="s">
        <v>51</v>
      </c>
      <c r="D151" s="9" t="s">
        <v>115</v>
      </c>
      <c r="E151" s="9" t="s">
        <v>20</v>
      </c>
      <c r="F151" s="10">
        <v>1.0</v>
      </c>
      <c r="G151" s="11">
        <v>163000.0</v>
      </c>
      <c r="H151" s="11">
        <v>0.0</v>
      </c>
      <c r="I151" s="40"/>
      <c r="J151" s="38"/>
      <c r="K151" s="13">
        <v>4.099E7</v>
      </c>
      <c r="L151" s="14" t="s">
        <v>33</v>
      </c>
      <c r="M151" s="20" t="s">
        <v>288</v>
      </c>
      <c r="N151" s="44"/>
      <c r="O151" s="15">
        <f t="shared" si="3"/>
        <v>38990000</v>
      </c>
      <c r="P151" s="4" t="s">
        <v>137</v>
      </c>
      <c r="Q151" s="4"/>
    </row>
    <row r="152">
      <c r="A152" s="45" t="s">
        <v>333</v>
      </c>
      <c r="B152" s="8">
        <v>2013.0</v>
      </c>
      <c r="C152" s="18" t="s">
        <v>31</v>
      </c>
      <c r="D152" s="9" t="s">
        <v>19</v>
      </c>
      <c r="E152" s="9" t="s">
        <v>20</v>
      </c>
      <c r="F152" s="10">
        <v>1.5</v>
      </c>
      <c r="G152" s="11">
        <v>104000.0</v>
      </c>
      <c r="H152" s="11">
        <v>3.0</v>
      </c>
      <c r="I152" s="40"/>
      <c r="J152" s="12">
        <v>46296.0</v>
      </c>
      <c r="K152" s="13">
        <v>3.899E7</v>
      </c>
      <c r="L152" s="14" t="s">
        <v>33</v>
      </c>
      <c r="M152" s="20" t="s">
        <v>288</v>
      </c>
      <c r="N152" s="44"/>
      <c r="O152" s="15">
        <f t="shared" si="3"/>
        <v>36990000</v>
      </c>
      <c r="P152" s="4" t="s">
        <v>137</v>
      </c>
      <c r="Q152" s="4"/>
    </row>
    <row r="153">
      <c r="A153" s="45" t="s">
        <v>334</v>
      </c>
      <c r="B153" s="8">
        <v>2016.0</v>
      </c>
      <c r="C153" s="18" t="s">
        <v>31</v>
      </c>
      <c r="D153" s="9" t="s">
        <v>19</v>
      </c>
      <c r="E153" s="9" t="s">
        <v>20</v>
      </c>
      <c r="F153" s="10">
        <v>2.0</v>
      </c>
      <c r="G153" s="11">
        <v>37500.0</v>
      </c>
      <c r="H153" s="11">
        <v>6.0</v>
      </c>
      <c r="I153" s="16">
        <v>46266.0</v>
      </c>
      <c r="J153" s="12">
        <v>46327.0</v>
      </c>
      <c r="K153" s="13">
        <v>7.799E7</v>
      </c>
      <c r="L153" s="14" t="s">
        <v>33</v>
      </c>
      <c r="M153" s="20" t="s">
        <v>288</v>
      </c>
      <c r="N153" s="44"/>
      <c r="O153" s="15">
        <f t="shared" si="3"/>
        <v>75990000</v>
      </c>
      <c r="P153" s="4" t="s">
        <v>137</v>
      </c>
      <c r="Q153" s="4"/>
    </row>
    <row r="154">
      <c r="A154" s="45" t="s">
        <v>335</v>
      </c>
      <c r="B154" s="9"/>
      <c r="C154" s="18" t="s">
        <v>51</v>
      </c>
      <c r="D154" s="9" t="s">
        <v>19</v>
      </c>
      <c r="E154" s="9" t="s">
        <v>20</v>
      </c>
      <c r="F154" s="10">
        <v>1.3</v>
      </c>
      <c r="G154" s="11">
        <v>0.0</v>
      </c>
      <c r="H154" s="18"/>
      <c r="I154" s="40"/>
      <c r="J154" s="38"/>
      <c r="K154" s="13">
        <v>9.899E7</v>
      </c>
      <c r="L154" s="14" t="s">
        <v>33</v>
      </c>
      <c r="M154" s="20" t="s">
        <v>288</v>
      </c>
      <c r="N154" s="44"/>
      <c r="O154" s="15">
        <f t="shared" si="3"/>
        <v>96990000</v>
      </c>
      <c r="P154" s="4" t="s">
        <v>137</v>
      </c>
      <c r="Q154" s="4"/>
    </row>
    <row r="155">
      <c r="A155" s="45" t="s">
        <v>336</v>
      </c>
      <c r="B155" s="8">
        <v>2023.0</v>
      </c>
      <c r="C155" s="18" t="s">
        <v>28</v>
      </c>
      <c r="D155" s="9" t="s">
        <v>19</v>
      </c>
      <c r="E155" s="9" t="s">
        <v>20</v>
      </c>
      <c r="F155" s="10">
        <v>1.6</v>
      </c>
      <c r="G155" s="11">
        <v>36000.0</v>
      </c>
      <c r="H155" s="11">
        <v>3.0</v>
      </c>
      <c r="I155" s="16">
        <v>46235.0</v>
      </c>
      <c r="J155" s="38"/>
      <c r="K155" s="13">
        <v>8.899E7</v>
      </c>
      <c r="L155" s="14" t="s">
        <v>33</v>
      </c>
      <c r="M155" s="20" t="s">
        <v>288</v>
      </c>
      <c r="N155" s="44"/>
      <c r="O155" s="15">
        <f t="shared" si="3"/>
        <v>86990000</v>
      </c>
      <c r="P155" s="4" t="s">
        <v>137</v>
      </c>
      <c r="Q155" s="4"/>
    </row>
    <row r="156">
      <c r="A156" s="45" t="s">
        <v>337</v>
      </c>
      <c r="B156" s="8">
        <v>2008.0</v>
      </c>
      <c r="C156" s="18" t="s">
        <v>18</v>
      </c>
      <c r="D156" s="9" t="s">
        <v>19</v>
      </c>
      <c r="E156" s="9" t="s">
        <v>20</v>
      </c>
      <c r="F156" s="10">
        <v>2.0</v>
      </c>
      <c r="G156" s="11">
        <v>115000.0</v>
      </c>
      <c r="H156" s="11">
        <v>9.0</v>
      </c>
      <c r="I156" s="16">
        <v>46143.0</v>
      </c>
      <c r="J156" s="12">
        <v>46204.0</v>
      </c>
      <c r="K156" s="13">
        <v>3.499E7</v>
      </c>
      <c r="L156" s="14" t="s">
        <v>33</v>
      </c>
      <c r="M156" s="20" t="s">
        <v>288</v>
      </c>
      <c r="N156" s="44"/>
      <c r="O156" s="15">
        <f t="shared" si="3"/>
        <v>32990000</v>
      </c>
      <c r="P156" s="4" t="s">
        <v>137</v>
      </c>
      <c r="Q156" s="4"/>
    </row>
    <row r="157">
      <c r="A157" s="45" t="s">
        <v>338</v>
      </c>
      <c r="B157" s="8">
        <v>2024.0</v>
      </c>
      <c r="C157" s="18" t="s">
        <v>18</v>
      </c>
      <c r="D157" s="9" t="s">
        <v>19</v>
      </c>
      <c r="E157" s="9" t="s">
        <v>35</v>
      </c>
      <c r="F157" s="10">
        <v>1.8</v>
      </c>
      <c r="G157" s="11">
        <v>34000.0</v>
      </c>
      <c r="H157" s="11">
        <v>0.0</v>
      </c>
      <c r="I157" s="40"/>
      <c r="J157" s="38"/>
      <c r="K157" s="13">
        <v>5.299E7</v>
      </c>
      <c r="L157" s="14" t="s">
        <v>33</v>
      </c>
      <c r="M157" s="20" t="s">
        <v>288</v>
      </c>
      <c r="N157" s="44"/>
      <c r="O157" s="15">
        <f t="shared" si="3"/>
        <v>50990000</v>
      </c>
      <c r="P157" s="4" t="s">
        <v>137</v>
      </c>
      <c r="Q157" s="4"/>
    </row>
    <row r="158">
      <c r="A158" s="45" t="s">
        <v>339</v>
      </c>
      <c r="B158" s="8">
        <v>2022.0</v>
      </c>
      <c r="C158" s="18" t="s">
        <v>18</v>
      </c>
      <c r="D158" s="9" t="s">
        <v>19</v>
      </c>
      <c r="E158" s="9" t="s">
        <v>20</v>
      </c>
      <c r="F158" s="10">
        <v>2.0</v>
      </c>
      <c r="G158" s="11">
        <v>10100.0</v>
      </c>
      <c r="H158" s="18"/>
      <c r="I158" s="16">
        <v>46327.0</v>
      </c>
      <c r="J158" s="38"/>
      <c r="K158" s="13">
        <v>7.199E7</v>
      </c>
      <c r="L158" s="14" t="s">
        <v>33</v>
      </c>
      <c r="M158" s="20" t="s">
        <v>288</v>
      </c>
      <c r="N158" s="44"/>
      <c r="O158" s="15">
        <f t="shared" si="3"/>
        <v>69990000</v>
      </c>
      <c r="P158" s="4" t="s">
        <v>137</v>
      </c>
      <c r="Q158" s="4"/>
    </row>
    <row r="159">
      <c r="A159" s="45" t="s">
        <v>340</v>
      </c>
      <c r="B159" s="8">
        <v>2011.0</v>
      </c>
      <c r="C159" s="18" t="s">
        <v>18</v>
      </c>
      <c r="D159" s="9" t="s">
        <v>115</v>
      </c>
      <c r="E159" s="9" t="s">
        <v>20</v>
      </c>
      <c r="F159" s="10">
        <v>1.5</v>
      </c>
      <c r="G159" s="11">
        <v>10100.0</v>
      </c>
      <c r="H159" s="18"/>
      <c r="I159" s="16">
        <v>46327.0</v>
      </c>
      <c r="J159" s="12">
        <v>46327.0</v>
      </c>
      <c r="K159" s="13">
        <v>5.199E7</v>
      </c>
      <c r="L159" s="14" t="s">
        <v>33</v>
      </c>
      <c r="M159" s="20" t="s">
        <v>288</v>
      </c>
      <c r="N159" s="44"/>
      <c r="O159" s="15">
        <f t="shared" si="3"/>
        <v>49990000</v>
      </c>
      <c r="P159" s="4" t="s">
        <v>137</v>
      </c>
      <c r="Q159" s="4"/>
    </row>
    <row r="160">
      <c r="A160" s="45" t="s">
        <v>341</v>
      </c>
      <c r="B160" s="8">
        <v>2019.0</v>
      </c>
      <c r="C160" s="18" t="s">
        <v>28</v>
      </c>
      <c r="D160" s="9" t="s">
        <v>19</v>
      </c>
      <c r="E160" s="9" t="s">
        <v>20</v>
      </c>
      <c r="F160" s="10">
        <v>3.3</v>
      </c>
      <c r="G160" s="11">
        <v>74000.0</v>
      </c>
      <c r="H160" s="11">
        <v>2.0</v>
      </c>
      <c r="I160" s="16">
        <v>46143.0</v>
      </c>
      <c r="J160" s="12">
        <v>46113.0</v>
      </c>
      <c r="K160" s="13">
        <v>4.899E7</v>
      </c>
      <c r="L160" s="14" t="s">
        <v>33</v>
      </c>
      <c r="M160" s="20" t="s">
        <v>288</v>
      </c>
      <c r="N160" s="44"/>
      <c r="O160" s="15">
        <f t="shared" si="3"/>
        <v>46990000</v>
      </c>
      <c r="P160" s="4" t="s">
        <v>137</v>
      </c>
      <c r="Q160" s="4"/>
    </row>
    <row r="161">
      <c r="A161" s="45" t="s">
        <v>342</v>
      </c>
      <c r="B161" s="8">
        <v>1985.0</v>
      </c>
      <c r="C161" s="18" t="s">
        <v>51</v>
      </c>
      <c r="D161" s="9" t="s">
        <v>19</v>
      </c>
      <c r="E161" s="9" t="s">
        <v>20</v>
      </c>
      <c r="F161" s="10">
        <v>1.6</v>
      </c>
      <c r="G161" s="11">
        <v>399000.0</v>
      </c>
      <c r="H161" s="18"/>
      <c r="I161" s="16">
        <v>46327.0</v>
      </c>
      <c r="J161" s="12">
        <v>46204.0</v>
      </c>
      <c r="K161" s="13">
        <v>3.699E7</v>
      </c>
      <c r="L161" s="14" t="s">
        <v>33</v>
      </c>
      <c r="M161" s="20" t="s">
        <v>288</v>
      </c>
      <c r="N161" s="44"/>
      <c r="O161" s="15">
        <f t="shared" si="3"/>
        <v>34990000</v>
      </c>
      <c r="P161" s="4" t="s">
        <v>137</v>
      </c>
      <c r="Q161" s="4"/>
    </row>
    <row r="162">
      <c r="A162" s="45" t="s">
        <v>343</v>
      </c>
      <c r="B162" s="8">
        <v>2018.0</v>
      </c>
      <c r="C162" s="18" t="s">
        <v>18</v>
      </c>
      <c r="D162" s="9" t="s">
        <v>19</v>
      </c>
      <c r="E162" s="9" t="s">
        <v>35</v>
      </c>
      <c r="F162" s="10">
        <v>2.0</v>
      </c>
      <c r="G162" s="11">
        <v>73500.0</v>
      </c>
      <c r="H162" s="11">
        <v>6.0</v>
      </c>
      <c r="I162" s="16">
        <v>46296.0</v>
      </c>
      <c r="J162" s="12">
        <v>46296.0</v>
      </c>
      <c r="K162" s="13">
        <v>4.699E7</v>
      </c>
      <c r="L162" s="14" t="s">
        <v>33</v>
      </c>
      <c r="M162" s="20" t="s">
        <v>288</v>
      </c>
      <c r="N162" s="44"/>
      <c r="O162" s="15">
        <f t="shared" si="3"/>
        <v>44990000</v>
      </c>
      <c r="P162" s="4" t="s">
        <v>137</v>
      </c>
      <c r="Q162" s="4"/>
    </row>
    <row r="163">
      <c r="A163" s="45" t="s">
        <v>344</v>
      </c>
      <c r="B163" s="8">
        <v>2015.0</v>
      </c>
      <c r="C163" s="18" t="s">
        <v>18</v>
      </c>
      <c r="D163" s="9" t="s">
        <v>19</v>
      </c>
      <c r="E163" s="9" t="s">
        <v>20</v>
      </c>
      <c r="F163" s="10">
        <v>2.0</v>
      </c>
      <c r="G163" s="11">
        <v>120000.0</v>
      </c>
      <c r="H163" s="46">
        <v>9.0</v>
      </c>
      <c r="I163" s="16">
        <v>46204.0</v>
      </c>
      <c r="J163" s="12">
        <v>46204.0</v>
      </c>
      <c r="K163" s="13">
        <v>3.399E7</v>
      </c>
      <c r="L163" s="14" t="s">
        <v>33</v>
      </c>
      <c r="M163" s="4"/>
      <c r="N163" s="4"/>
      <c r="O163" s="47">
        <f t="shared" si="3"/>
        <v>31990000</v>
      </c>
      <c r="P163" s="4"/>
      <c r="Q163" s="4"/>
    </row>
  </sheetData>
  <mergeCells count="1">
    <mergeCell ref="A1:P1"/>
  </mergeCells>
  <dataValidations>
    <dataValidation type="list" allowBlank="1" showErrorMessage="1" sqref="M3:M162">
      <formula1>"001GA,002PR,003CA,004AP,005RC,00QP,006UP"</formula1>
    </dataValidation>
    <dataValidation type="list" allowBlank="1" showErrorMessage="1" sqref="L11">
      <formula1>"DISPONIBLE,RESERVADO,CON CITA PREVIA,VENDIDO ,ALISTAMIENTO,DESEMBOLSO/VENDIDO"</formula1>
    </dataValidation>
    <dataValidation type="list" allowBlank="1" showErrorMessage="1" sqref="C3:C163">
      <formula1>"Azul,Negro,Blanco,Rojo,Gris,Plata"</formula1>
    </dataValidation>
    <dataValidation type="list" allowBlank="1" showErrorMessage="1" sqref="E3:E163">
      <formula1>"Mecanica,Automatica,Triptonica"</formula1>
    </dataValidation>
    <dataValidation type="list" allowBlank="1" showErrorMessage="1" sqref="L3:L10 L12:L163">
      <formula1>"DISPONIBLE,RESERVADO,CON CITA PREVIA,VENDIDO ,ALISTAMIENTO,DESEMBOLSO"</formula1>
    </dataValidation>
    <dataValidation type="list" allowBlank="1" showErrorMessage="1" sqref="P3:P162">
      <formula1>"OUTLET ,CITA PREVIA"</formula1>
    </dataValidation>
    <dataValidation type="list" allowBlank="1" showErrorMessage="1" sqref="D3:D163">
      <formula1>"Gasolina,Diesel,Hibrido,Electrico"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/>
      <c r="B2" s="48"/>
      <c r="C2" s="4"/>
      <c r="D2" s="4"/>
      <c r="E2" s="49" t="s">
        <v>345</v>
      </c>
      <c r="F2" s="50" t="s">
        <v>346</v>
      </c>
      <c r="G2" s="4"/>
    </row>
    <row r="3">
      <c r="A3" s="49" t="s">
        <v>345</v>
      </c>
      <c r="B3" s="51" t="s">
        <v>1</v>
      </c>
      <c r="C3" s="52" t="s">
        <v>347</v>
      </c>
      <c r="D3" s="4"/>
      <c r="E3" s="49" t="s">
        <v>345</v>
      </c>
      <c r="F3" s="50" t="s">
        <v>348</v>
      </c>
      <c r="G3" s="8" t="s">
        <v>349</v>
      </c>
    </row>
    <row r="4">
      <c r="A4" s="49" t="s">
        <v>345</v>
      </c>
      <c r="B4" s="51" t="s">
        <v>2</v>
      </c>
      <c r="C4" s="46">
        <v>2016.0</v>
      </c>
      <c r="D4" s="4"/>
      <c r="E4" s="49" t="s">
        <v>345</v>
      </c>
      <c r="F4" s="50" t="s">
        <v>350</v>
      </c>
      <c r="G4" s="8" t="s">
        <v>17</v>
      </c>
    </row>
    <row r="5">
      <c r="A5" s="49" t="s">
        <v>345</v>
      </c>
      <c r="B5" s="51" t="s">
        <v>3</v>
      </c>
      <c r="C5" s="4" t="s">
        <v>18</v>
      </c>
      <c r="D5" s="4"/>
      <c r="E5" s="49" t="s">
        <v>345</v>
      </c>
      <c r="F5" s="50" t="s">
        <v>351</v>
      </c>
      <c r="G5" s="8">
        <v>2020.0</v>
      </c>
    </row>
    <row r="6">
      <c r="A6" s="49" t="s">
        <v>345</v>
      </c>
      <c r="B6" s="51" t="s">
        <v>4</v>
      </c>
      <c r="C6" s="4" t="s">
        <v>19</v>
      </c>
      <c r="D6" s="4"/>
      <c r="E6" s="49" t="s">
        <v>345</v>
      </c>
      <c r="F6" s="50" t="s">
        <v>352</v>
      </c>
      <c r="G6" s="11" t="s">
        <v>21</v>
      </c>
    </row>
    <row r="7">
      <c r="A7" s="49" t="s">
        <v>345</v>
      </c>
      <c r="B7" s="51" t="s">
        <v>5</v>
      </c>
      <c r="C7" s="4" t="s">
        <v>20</v>
      </c>
      <c r="D7" s="4"/>
      <c r="E7" s="49" t="s">
        <v>345</v>
      </c>
      <c r="F7" s="50" t="s">
        <v>353</v>
      </c>
      <c r="G7" s="11" t="s">
        <v>354</v>
      </c>
    </row>
    <row r="8">
      <c r="A8" s="49" t="s">
        <v>345</v>
      </c>
      <c r="B8" s="51" t="s">
        <v>6</v>
      </c>
      <c r="C8" s="46">
        <v>1.6</v>
      </c>
      <c r="D8" s="4"/>
      <c r="E8" s="49" t="s">
        <v>345</v>
      </c>
      <c r="F8" s="53" t="s">
        <v>355</v>
      </c>
      <c r="G8" s="4" t="s">
        <v>18</v>
      </c>
    </row>
    <row r="9">
      <c r="A9" s="49" t="s">
        <v>345</v>
      </c>
      <c r="B9" s="54" t="s">
        <v>7</v>
      </c>
      <c r="C9" s="46">
        <v>66000.0</v>
      </c>
      <c r="D9" s="4"/>
      <c r="E9" s="49" t="s">
        <v>345</v>
      </c>
      <c r="F9" s="53" t="s">
        <v>356</v>
      </c>
      <c r="G9" s="11">
        <v>76000.0</v>
      </c>
    </row>
    <row r="10">
      <c r="A10" s="49" t="s">
        <v>345</v>
      </c>
      <c r="B10" s="51" t="s">
        <v>8</v>
      </c>
      <c r="C10" s="46">
        <v>4.0</v>
      </c>
      <c r="D10" s="4"/>
      <c r="E10" s="49" t="s">
        <v>345</v>
      </c>
      <c r="F10" s="53" t="s">
        <v>357</v>
      </c>
      <c r="G10" s="15">
        <v>3.899E7</v>
      </c>
    </row>
    <row r="11">
      <c r="A11" s="49" t="s">
        <v>345</v>
      </c>
      <c r="B11" s="51" t="s">
        <v>9</v>
      </c>
      <c r="C11" s="4"/>
      <c r="D11" s="4"/>
      <c r="E11" s="49" t="s">
        <v>345</v>
      </c>
      <c r="F11" s="50" t="s">
        <v>358</v>
      </c>
      <c r="G11" s="12" t="s">
        <v>22</v>
      </c>
    </row>
    <row r="12">
      <c r="A12" s="49" t="s">
        <v>345</v>
      </c>
      <c r="B12" s="54" t="s">
        <v>10</v>
      </c>
      <c r="C12" s="4"/>
      <c r="D12" s="4"/>
      <c r="E12" s="49" t="s">
        <v>345</v>
      </c>
      <c r="F12" s="50" t="s">
        <v>359</v>
      </c>
      <c r="G12" s="8" t="s">
        <v>23</v>
      </c>
    </row>
    <row r="13">
      <c r="A13" s="55" t="s">
        <v>12</v>
      </c>
      <c r="B13" s="54" t="s">
        <v>12</v>
      </c>
      <c r="C13" s="4"/>
      <c r="D13" s="4"/>
      <c r="E13" s="49" t="s">
        <v>345</v>
      </c>
      <c r="F13" s="50" t="s">
        <v>360</v>
      </c>
      <c r="G13" s="8" t="s">
        <v>361</v>
      </c>
    </row>
    <row r="14">
      <c r="A14" s="49" t="s">
        <v>345</v>
      </c>
      <c r="B14" s="54" t="s">
        <v>13</v>
      </c>
      <c r="C14" s="4" t="s">
        <v>362</v>
      </c>
      <c r="D14" s="4"/>
      <c r="E14" s="4"/>
      <c r="F14" s="56"/>
      <c r="G14" s="4"/>
    </row>
    <row r="15">
      <c r="A15" s="49" t="s">
        <v>345</v>
      </c>
      <c r="B15" s="57" t="s">
        <v>363</v>
      </c>
      <c r="C15" s="58">
        <v>4.49E7</v>
      </c>
      <c r="D15" s="4"/>
      <c r="E15" s="4"/>
      <c r="F15" s="4"/>
      <c r="G15" s="4"/>
    </row>
    <row r="16">
      <c r="A16" s="49" t="s">
        <v>345</v>
      </c>
      <c r="B16" s="54" t="s">
        <v>16</v>
      </c>
      <c r="C16" s="4" t="s">
        <v>137</v>
      </c>
      <c r="D16" s="4"/>
      <c r="E16" s="4"/>
      <c r="F16" s="4"/>
      <c r="G16" s="4"/>
    </row>
    <row r="17">
      <c r="A17" s="4"/>
      <c r="B17" s="54" t="s">
        <v>14</v>
      </c>
      <c r="C17" s="59"/>
      <c r="D17" s="4"/>
      <c r="E17" s="4"/>
      <c r="F17" s="4"/>
      <c r="G17" s="4"/>
    </row>
  </sheetData>
  <dataValidations>
    <dataValidation type="list" allowBlank="1" showErrorMessage="1" sqref="C7">
      <formula1>"Mecanica,Automatica,Triptonica"</formula1>
    </dataValidation>
    <dataValidation type="list" allowBlank="1" showErrorMessage="1" sqref="G8">
      <formula1>"Azul,Negro,Blanco,Rojo,Gris,Plata"</formula1>
    </dataValidation>
    <dataValidation type="list" allowBlank="1" showErrorMessage="1" sqref="C14">
      <formula1>"02PM,01AC,03UP,04CC,001AQ,05GA,002VA,008JK"</formula1>
    </dataValidation>
    <dataValidation type="list" allowBlank="1" showErrorMessage="1" sqref="G13">
      <formula1>"SI,NO"</formula1>
    </dataValidation>
    <dataValidation type="list" allowBlank="1" showErrorMessage="1" sqref="G3">
      <formula1>"AUTOMOVIL,CAMIONETA,MOTO"</formula1>
    </dataValidation>
    <dataValidation type="list" allowBlank="1" showErrorMessage="1" sqref="C5">
      <formula1>"Azul,Negro,Blanco,Rojo,Gris"</formula1>
    </dataValidation>
    <dataValidation type="list" allowBlank="1" showErrorMessage="1" sqref="C16">
      <formula1>"OUTLET ,CITA PREVIA"</formula1>
    </dataValidation>
    <dataValidation type="list" allowBlank="1" showErrorMessage="1" sqref="C6">
      <formula1>"Gasolina,Diesel,Hibrido,Electrico"</formula1>
    </dataValidation>
  </dataValidations>
  <drawing r:id="rId1"/>
</worksheet>
</file>